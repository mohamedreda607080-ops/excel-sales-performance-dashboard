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anylsis\Tasks\Task4\"/>
    </mc:Choice>
  </mc:AlternateContent>
  <xr:revisionPtr revIDLastSave="0" documentId="13_ncr:1_{41613381-2BA9-44C6-85F8-24F82DA121F1}" xr6:coauthVersionLast="47" xr6:coauthVersionMax="47" xr10:uidLastSave="{00000000-0000-0000-0000-000000000000}"/>
  <bookViews>
    <workbookView xWindow="-108" yWindow="-108" windowWidth="23256" windowHeight="12456" activeTab="4" xr2:uid="{DA988FD7-06EF-4205-A711-6B6807944B9B}"/>
  </bookViews>
  <sheets>
    <sheet name="order" sheetId="4" r:id="rId1"/>
    <sheet name="pivot Table" sheetId="5" r:id="rId2"/>
    <sheet name="Return" sheetId="2" r:id="rId3"/>
    <sheet name="People" sheetId="3" r:id="rId4"/>
    <sheet name="DashBoard" sheetId="7" r:id="rId5"/>
  </sheets>
  <definedNames>
    <definedName name="Slicer_Category">#N/A</definedName>
    <definedName name="Slicer_City">#N/A</definedName>
    <definedName name="Slicer_Product_Name">#N/A</definedName>
    <definedName name="Slicer_Region">#N/A</definedName>
    <definedName name="Slicer_Ship_Mode">#N/A</definedName>
    <definedName name="Slicer_State">#N/A</definedName>
    <definedName name="Slicer_Year">#N/A</definedName>
  </definedNames>
  <calcPr calcId="191029"/>
  <pivotCaches>
    <pivotCache cacheId="4"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E4F91A-35C4-40A1-BEF1-6B4C252180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<sst xmlns="http://schemas.openxmlformats.org/spreadsheetml/2006/main" count="7207" uniqueCount="2241">
  <si>
    <t>Row ID</t>
  </si>
  <si>
    <t>Order ID</t>
  </si>
  <si>
    <t>Order Date</t>
  </si>
  <si>
    <t>Ship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</si>
  <si>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</si>
  <si>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</si>
  <si>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</si>
  <si>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</si>
  <si>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</si>
  <si>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</si>
  <si>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</si>
  <si>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</si>
  <si>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</si>
  <si>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</si>
  <si>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</si>
  <si>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</si>
  <si>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</si>
  <si>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</si>
  <si>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</si>
  <si>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</si>
  <si>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</si>
  <si>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</si>
  <si>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</si>
  <si>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</si>
  <si>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</si>
  <si>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</si>
  <si>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</si>
  <si>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</si>
  <si>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</si>
  <si>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</si>
  <si>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</si>
  <si>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</si>
  <si>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</si>
  <si>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</si>
  <si>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</si>
  <si>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</si>
  <si>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</si>
  <si>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</si>
  <si>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</si>
  <si>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</si>
  <si>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</si>
  <si>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</si>
  <si>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</si>
  <si>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</si>
  <si>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</si>
  <si>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</si>
  <si>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</si>
  <si>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</si>
  <si>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</si>
  <si>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</si>
  <si>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</si>
  <si>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</si>
  <si>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</si>
  <si>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</si>
  <si>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</si>
  <si>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</si>
  <si>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</si>
  <si>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</si>
  <si>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</si>
  <si>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</si>
  <si>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</si>
  <si>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</si>
  <si>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</si>
  <si>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</si>
  <si>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</si>
  <si>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</si>
  <si>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</si>
  <si>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</si>
  <si>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</si>
  <si>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</si>
  <si>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</si>
  <si>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</si>
  <si>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</si>
  <si>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</si>
  <si>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</si>
  <si>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</si>
  <si>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</si>
  <si>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</si>
  <si>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</si>
  <si>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</si>
  <si>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</si>
  <si>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</si>
  <si>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</si>
  <si>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</si>
  <si>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</si>
  <si>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</si>
  <si>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</si>
  <si>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</si>
  <si>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</si>
  <si>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</si>
  <si>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</si>
  <si>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</si>
  <si>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</si>
  <si>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</si>
  <si>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</si>
  <si>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</si>
  <si>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</si>
  <si>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</si>
  <si>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</si>
  <si>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</si>
  <si>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</si>
  <si>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</si>
  <si>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</si>
  <si>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</si>
  <si>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</si>
  <si>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</si>
  <si>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</si>
  <si>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</si>
  <si>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</si>
  <si>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</si>
  <si>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</si>
  <si>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</si>
  <si>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</si>
  <si>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</si>
  <si>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</si>
  <si>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</si>
  <si>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</si>
  <si>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</si>
  <si>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</si>
  <si>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</si>
  <si>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</si>
  <si>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</si>
  <si>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</si>
  <si>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</si>
  <si>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</si>
  <si>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</si>
  <si>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</si>
  <si>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</si>
  <si>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</si>
  <si>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</si>
  <si>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</si>
  <si>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</si>
  <si>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</si>
  <si>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</si>
  <si>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</si>
  <si>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</si>
  <si>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</si>
  <si>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</si>
  <si>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</si>
  <si>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</si>
  <si>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</si>
  <si>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</si>
  <si>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</si>
  <si>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</si>
  <si>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</si>
  <si>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</si>
  <si>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</si>
  <si>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</si>
  <si>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</si>
  <si>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</si>
  <si>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</si>
  <si>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</si>
  <si>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</si>
  <si>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</si>
  <si>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</si>
  <si>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</si>
  <si>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</si>
  <si>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</si>
  <si>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</si>
  <si>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</si>
  <si>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</si>
  <si>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</si>
  <si>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</si>
  <si>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</si>
  <si>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</si>
  <si>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</si>
  <si>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</si>
  <si>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</si>
  <si>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</si>
  <si>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</si>
  <si>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</si>
  <si>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</si>
  <si>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</si>
  <si>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</si>
  <si>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</si>
  <si>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</si>
  <si>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</si>
  <si>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</si>
  <si>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</si>
  <si>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</si>
  <si>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</si>
  <si>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</si>
  <si>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</si>
  <si>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</si>
  <si>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</si>
  <si>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</si>
  <si>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</si>
  <si>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</si>
  <si>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</si>
  <si>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</si>
  <si>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</si>
  <si>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</si>
  <si>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</si>
  <si>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</si>
  <si>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</si>
  <si>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</si>
  <si>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</si>
  <si>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</si>
  <si>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</si>
  <si>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</si>
  <si>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</si>
  <si>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</si>
  <si>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</si>
  <si>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</si>
  <si>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</si>
  <si>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</si>
  <si>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</si>
  <si>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</si>
  <si>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</si>
  <si>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</si>
  <si>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</si>
  <si>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</si>
  <si>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</si>
  <si>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</si>
  <si>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</si>
  <si>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</si>
  <si>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</si>
  <si>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</si>
  <si>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</si>
  <si>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</si>
  <si>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</si>
  <si>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</si>
  <si>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</si>
  <si>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</si>
  <si>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</si>
  <si>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</si>
  <si>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</si>
  <si>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</si>
  <si>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</si>
  <si>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</si>
  <si>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</si>
  <si>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</si>
  <si>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</si>
  <si>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</si>
  <si>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</si>
  <si>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</si>
  <si>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</si>
  <si>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</si>
  <si>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</si>
  <si>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</si>
  <si>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</si>
  <si>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</si>
  <si>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</si>
  <si>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</si>
  <si>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</si>
  <si>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</si>
  <si>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</si>
  <si>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</si>
  <si>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</si>
  <si>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</si>
  <si>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</si>
  <si>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</si>
  <si>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</si>
  <si>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</si>
  <si>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</si>
  <si>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</si>
  <si>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</si>
  <si>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</si>
  <si>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</si>
  <si>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</si>
  <si>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</si>
  <si>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</si>
  <si>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</si>
  <si>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</si>
  <si>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</si>
  <si>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</si>
  <si>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</si>
  <si>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</si>
  <si>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</si>
  <si>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</si>
  <si>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</si>
  <si>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</si>
  <si>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</si>
  <si>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</si>
  <si>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</si>
  <si>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</si>
  <si>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</si>
  <si>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</si>
  <si>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</si>
  <si>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</si>
  <si>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</si>
  <si>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</si>
  <si>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</si>
  <si>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</si>
  <si>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</si>
  <si>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</si>
  <si>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</si>
  <si>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</si>
  <si>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</si>
  <si>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</si>
  <si>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</si>
  <si>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</si>
  <si>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</si>
  <si>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</si>
  <si>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</si>
  <si>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</si>
  <si>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</si>
  <si>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</si>
  <si>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</si>
  <si>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</si>
  <si>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</si>
  <si>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</si>
  <si>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</si>
  <si>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</si>
  <si>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</si>
  <si>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</si>
  <si>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</si>
  <si>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</si>
  <si>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</si>
  <si>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</si>
  <si>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</si>
  <si>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</si>
  <si>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</si>
  <si>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</si>
  <si>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</si>
  <si>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</si>
  <si>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</si>
  <si>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</si>
  <si>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</si>
  <si>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</si>
  <si>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</si>
  <si>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</si>
  <si>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</si>
  <si>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</si>
  <si>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</si>
  <si>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</si>
  <si>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</si>
  <si>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</si>
  <si>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</si>
  <si>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</si>
  <si>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</si>
  <si>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</si>
  <si>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</si>
  <si>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</si>
  <si>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</si>
  <si>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</si>
  <si>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</si>
  <si>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</si>
  <si>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</si>
  <si>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</si>
  <si>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</si>
  <si>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</si>
  <si>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</si>
  <si>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</si>
  <si>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</si>
  <si>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</si>
  <si>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</si>
  <si>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</si>
  <si>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</si>
  <si>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</si>
  <si>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</si>
  <si>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</si>
  <si>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</si>
  <si>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</si>
  <si>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</si>
  <si>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</si>
  <si>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</si>
  <si>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</si>
  <si>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</si>
  <si>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</si>
  <si>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</si>
  <si>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</si>
  <si>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</si>
  <si>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</si>
  <si>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</si>
  <si>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</si>
  <si>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</si>
  <si>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</si>
  <si>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</si>
  <si>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</si>
  <si>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</si>
  <si>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</si>
  <si>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</si>
  <si>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</si>
  <si>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</si>
  <si>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</si>
  <si>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</si>
  <si>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</si>
  <si>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</si>
  <si>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</si>
  <si>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</si>
  <si>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</si>
  <si>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</si>
  <si>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</si>
  <si>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</si>
  <si>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</si>
  <si>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</si>
  <si>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</si>
  <si>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</si>
  <si>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</si>
  <si>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</si>
  <si>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</si>
  <si>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</si>
  <si>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</si>
  <si>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</si>
  <si>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</si>
  <si>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</si>
  <si>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</si>
  <si>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</si>
  <si>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</si>
  <si>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</si>
  <si>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</si>
  <si>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</si>
  <si>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</si>
  <si>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</si>
  <si>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</si>
  <si>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</si>
  <si>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</si>
  <si>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</si>
  <si>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</si>
  <si>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</si>
  <si>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</si>
  <si>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</si>
  <si>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</si>
  <si>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</si>
  <si>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</si>
  <si>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</si>
  <si>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</si>
  <si>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</si>
  <si>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</si>
  <si>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</si>
  <si>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</si>
  <si>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</si>
  <si>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</si>
  <si>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</si>
  <si>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</si>
  <si>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</si>
  <si>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</si>
  <si>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</si>
  <si>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</si>
  <si>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</si>
  <si>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</si>
  <si>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</si>
  <si>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</si>
  <si>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</si>
  <si>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</si>
  <si>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</si>
  <si>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</si>
  <si>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</si>
  <si>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</si>
  <si>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</si>
  <si>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</si>
  <si>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</si>
  <si>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</si>
  <si>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</si>
  <si>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</si>
  <si>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</si>
  <si>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</si>
  <si>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</si>
  <si>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</si>
  <si>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</si>
  <si>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</si>
  <si>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</si>
  <si>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</si>
  <si>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</si>
  <si>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</si>
  <si>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</si>
  <si>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</si>
  <si>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</si>
  <si>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</si>
  <si>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</si>
  <si>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</si>
  <si>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</si>
  <si>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</si>
  <si>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</si>
  <si>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</si>
  <si>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</si>
  <si>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</si>
  <si>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</si>
  <si>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</si>
  <si>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</si>
  <si>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</si>
  <si>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</si>
  <si>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</si>
  <si>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</si>
  <si>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</si>
  <si>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</si>
  <si>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</si>
  <si>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</si>
  <si>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</si>
  <si>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</si>
  <si>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</si>
  <si>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</si>
  <si>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</si>
  <si>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</si>
  <si>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</si>
  <si>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</si>
  <si>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</si>
  <si>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</si>
  <si>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</si>
  <si>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</si>
  <si>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</si>
  <si>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</si>
  <si>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</si>
  <si>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</si>
  <si>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</si>
  <si>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</si>
  <si>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</si>
  <si>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</si>
  <si>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</si>
  <si>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</si>
  <si>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</si>
  <si>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</si>
  <si>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</si>
  <si>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</si>
  <si>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</si>
  <si>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</si>
  <si>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</si>
  <si>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</si>
  <si>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</si>
  <si>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</si>
  <si>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</si>
  <si>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</si>
  <si>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</si>
  <si>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</si>
  <si>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</si>
  <si>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</si>
  <si>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</si>
  <si>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</si>
  <si>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</si>
  <si>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</si>
  <si>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</si>
  <si>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</si>
  <si>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</si>
  <si>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</si>
  <si>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</si>
  <si>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</si>
  <si>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</si>
  <si>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</si>
  <si>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</si>
  <si>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</si>
  <si>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</si>
  <si>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</si>
  <si>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</si>
  <si>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</si>
  <si>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</si>
  <si>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</si>
  <si>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</si>
  <si>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</si>
  <si>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</si>
  <si>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</si>
  <si>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</si>
  <si>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</si>
  <si>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</si>
  <si>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</si>
  <si>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</si>
  <si>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</si>
  <si>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</si>
  <si>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</si>
  <si>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</si>
  <si>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</si>
  <si>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</si>
  <si>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</si>
  <si>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</si>
  <si>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</si>
  <si>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</si>
  <si>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</si>
  <si>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</si>
  <si>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</si>
  <si>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</si>
  <si>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</si>
  <si>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</si>
  <si>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</si>
  <si>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</si>
  <si>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</si>
  <si>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</si>
  <si>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</si>
  <si>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</si>
  <si>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</si>
  <si>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</si>
  <si>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</si>
  <si>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</si>
  <si>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</si>
  <si>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</si>
  <si>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</si>
  <si>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</si>
  <si>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</si>
  <si>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</si>
  <si>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</si>
  <si>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</si>
  <si>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</si>
  <si>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</si>
  <si>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</si>
  <si>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</si>
  <si>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</si>
  <si>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</si>
  <si>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</si>
  <si>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</si>
  <si>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</si>
  <si>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</si>
  <si>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</si>
  <si>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</si>
  <si>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</si>
  <si>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</si>
  <si>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</si>
  <si>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</si>
  <si>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</si>
  <si>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</si>
  <si>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</si>
  <si>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</si>
  <si>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</si>
  <si>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</si>
  <si>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</si>
  <si>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</si>
  <si>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</si>
  <si>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</si>
  <si>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</si>
  <si>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</si>
  <si>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</si>
  <si>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</si>
  <si>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</si>
  <si>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</si>
  <si>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</si>
  <si>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</si>
  <si>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</si>
  <si>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</si>
  <si>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</si>
  <si>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</si>
  <si>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</si>
  <si>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</si>
  <si>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</si>
  <si>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</si>
  <si>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</si>
  <si>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</si>
  <si>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</si>
  <si>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</si>
  <si>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</si>
  <si>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</si>
  <si>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</si>
  <si>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</si>
  <si>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</si>
  <si>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</si>
  <si>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</si>
  <si>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</si>
  <si>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</si>
  <si>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</si>
  <si>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</si>
  <si>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</si>
  <si>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</si>
  <si>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</si>
  <si>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</si>
  <si>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</si>
  <si>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</si>
  <si>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</si>
  <si>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</si>
  <si>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</si>
  <si>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</si>
  <si>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</si>
  <si>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</si>
  <si>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</si>
  <si>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</si>
  <si>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</si>
  <si>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</si>
  <si>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</si>
  <si>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</si>
  <si>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</si>
  <si>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</si>
  <si>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</si>
  <si>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</si>
  <si>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</si>
  <si>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</si>
  <si>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</si>
  <si>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</si>
  <si>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</si>
  <si>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</si>
  <si>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</si>
  <si>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</si>
  <si>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</si>
  <si>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</si>
  <si>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</si>
  <si>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</si>
  <si>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</si>
  <si>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</si>
  <si>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</si>
  <si>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</si>
  <si>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</si>
  <si>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</si>
  <si>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</si>
  <si>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</si>
  <si>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</si>
  <si>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</si>
  <si>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</si>
  <si>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</si>
  <si>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</si>
  <si>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</si>
  <si>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</si>
  <si>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</si>
  <si>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</si>
  <si>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</si>
  <si>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</si>
  <si>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</si>
  <si>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</si>
  <si>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</si>
  <si>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</si>
  <si>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</si>
  <si>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</si>
  <si>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</si>
  <si>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</si>
  <si>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</si>
  <si>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</si>
  <si>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</si>
  <si>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</si>
  <si>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</si>
  <si>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</si>
  <si>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</si>
  <si>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</si>
  <si>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</si>
  <si>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</si>
  <si>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</si>
  <si>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</si>
  <si>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</si>
  <si>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</si>
  <si>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</si>
  <si>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</si>
  <si>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</si>
  <si>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</si>
  <si>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</si>
  <si>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</si>
  <si>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</si>
  <si>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</si>
  <si>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</si>
  <si>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</si>
  <si>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</si>
  <si>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</si>
  <si>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</si>
  <si>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</si>
  <si>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</si>
  <si>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</si>
  <si>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</si>
  <si>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</si>
  <si>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</si>
  <si>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</si>
  <si>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</si>
  <si>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</si>
  <si>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</si>
  <si>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</si>
  <si>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</si>
  <si>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</si>
  <si>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</si>
  <si>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</si>
  <si>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</si>
  <si>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</si>
  <si>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</si>
  <si>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</si>
  <si>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</si>
  <si>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</si>
  <si>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</si>
  <si>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</si>
  <si>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</si>
  <si>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</si>
  <si>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</si>
  <si>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</si>
  <si>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</si>
  <si>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</si>
  <si>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</si>
  <si>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</si>
  <si>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</si>
  <si>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</si>
  <si>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</si>
  <si>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</si>
  <si>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</si>
  <si>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</si>
  <si>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</si>
  <si>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</si>
  <si>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</si>
  <si>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</si>
  <si>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</si>
  <si>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</si>
  <si>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</si>
  <si>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</si>
  <si>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</si>
  <si>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</si>
  <si>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</si>
  <si>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</si>
  <si>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</si>
  <si>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</si>
  <si>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</si>
  <si>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</si>
  <si>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</si>
  <si>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</si>
  <si>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</si>
  <si>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</si>
  <si>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</si>
  <si>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</si>
  <si>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</si>
  <si>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</si>
  <si>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</si>
  <si>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</si>
  <si>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</si>
  <si>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</si>
  <si>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</si>
  <si>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</si>
  <si>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</si>
  <si>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</si>
  <si>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</si>
  <si>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</si>
  <si>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</si>
  <si>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</si>
  <si>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</si>
  <si>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</si>
  <si>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</si>
  <si>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</si>
  <si>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</si>
  <si>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</si>
  <si>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</si>
  <si>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</si>
  <si>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</si>
  <si>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</si>
  <si>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</si>
  <si>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</si>
  <si>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</si>
  <si>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</si>
  <si>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</si>
  <si>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</si>
  <si>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</si>
  <si>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</si>
  <si>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</si>
  <si>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</si>
  <si>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</si>
  <si>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</si>
  <si>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</si>
  <si>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</si>
  <si>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</si>
  <si>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</si>
  <si>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</si>
  <si>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</si>
  <si>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</si>
  <si>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</si>
  <si>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</si>
  <si>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</si>
  <si>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</si>
  <si>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</si>
  <si>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</si>
  <si>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</si>
  <si>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</si>
  <si>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</si>
  <si>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</si>
  <si>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</si>
  <si>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</si>
  <si>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</si>
  <si>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</si>
  <si>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</si>
  <si>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</si>
  <si>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</si>
  <si>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</si>
  <si>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</si>
  <si>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</si>
  <si>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</si>
  <si>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</si>
  <si>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</si>
  <si>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</si>
  <si>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</si>
  <si>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</si>
  <si>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</si>
  <si>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</si>
  <si>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</si>
  <si>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</si>
  <si>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</si>
  <si>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</si>
  <si>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</si>
  <si>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</si>
  <si>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</si>
  <si>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</si>
  <si>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</si>
  <si>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</si>
  <si>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</si>
  <si>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</si>
  <si>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</si>
  <si>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</si>
  <si>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</si>
  <si>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</si>
  <si>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</si>
  <si>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</si>
  <si>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</si>
  <si>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</si>
  <si>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</si>
  <si>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</si>
  <si>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</si>
  <si>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</si>
  <si>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</si>
  <si>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</si>
  <si>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</si>
  <si>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</si>
  <si>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</si>
  <si>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</si>
  <si>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</si>
  <si>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</si>
  <si>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</si>
  <si>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</si>
  <si>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</si>
  <si>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</si>
  <si>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</si>
  <si>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</si>
  <si>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</si>
  <si>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</si>
  <si>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</si>
  <si>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</si>
  <si>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</si>
  <si>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</si>
  <si>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</si>
  <si>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</si>
  <si>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</si>
  <si>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</si>
  <si>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</si>
  <si>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</si>
  <si>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</si>
  <si>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</si>
  <si>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</si>
  <si>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</si>
  <si>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</si>
  <si>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</si>
  <si>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</si>
  <si>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</si>
  <si>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</si>
  <si>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</si>
  <si>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</si>
  <si>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</si>
  <si>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</si>
  <si>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</si>
  <si>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</si>
  <si>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</si>
  <si>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</si>
  <si>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</si>
  <si>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</si>
  <si>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</si>
  <si>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</si>
  <si>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</si>
  <si>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</si>
  <si>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</si>
  <si>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</si>
  <si>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</si>
  <si>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</si>
  <si>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</si>
  <si>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</si>
  <si>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</si>
  <si>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</si>
  <si>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</si>
  <si>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</si>
  <si>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</si>
  <si>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</si>
  <si>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</si>
  <si>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</si>
  <si>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</si>
  <si>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</si>
  <si>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</si>
  <si>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</si>
  <si>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</si>
  <si>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</si>
  <si>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</si>
  <si>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</si>
  <si>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</si>
  <si>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</si>
  <si>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</si>
  <si>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</si>
  <si>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</si>
  <si>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</si>
  <si>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</si>
  <si>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</si>
  <si>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</si>
  <si>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</si>
  <si>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</si>
  <si>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</si>
  <si>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</si>
  <si>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</si>
  <si>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</si>
  <si>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</si>
  <si>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</si>
  <si>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</si>
  <si>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</si>
  <si>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</si>
  <si>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</si>
  <si>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</si>
  <si>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</si>
  <si>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</si>
  <si>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</si>
  <si>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</si>
  <si>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</si>
  <si>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</si>
  <si>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</si>
  <si>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</si>
  <si>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</si>
  <si>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</si>
  <si>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</si>
  <si>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</si>
  <si>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</si>
  <si>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</si>
  <si>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</si>
  <si>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</si>
  <si>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</si>
  <si>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</si>
  <si>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</si>
  <si>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</si>
  <si>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</si>
  <si>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</si>
  <si>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</si>
  <si>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</si>
  <si>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</si>
  <si>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</si>
  <si>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</si>
  <si>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</si>
  <si>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</si>
  <si>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</si>
  <si>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</si>
  <si>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</si>
  <si>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</si>
  <si>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</si>
  <si>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</si>
  <si>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</si>
  <si>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</si>
  <si>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</si>
  <si>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</si>
  <si>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</si>
  <si>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</si>
  <si>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</si>
  <si>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</si>
  <si>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</si>
  <si>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</si>
  <si>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</si>
  <si>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</si>
  <si>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</si>
  <si>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</si>
  <si>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</si>
  <si>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</si>
  <si>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</si>
  <si>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</si>
  <si>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</si>
  <si>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</si>
  <si>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</si>
  <si>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</si>
  <si>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</si>
  <si>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</si>
  <si>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</si>
  <si>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</si>
  <si>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</si>
  <si>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</si>
  <si>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</si>
  <si>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</si>
  <si>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</si>
  <si>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</si>
  <si>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</si>
  <si>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</si>
  <si>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</si>
  <si>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</si>
  <si>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</si>
  <si>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</si>
  <si>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</si>
  <si>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</si>
  <si>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</si>
  <si>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</si>
  <si>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</si>
  <si>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</si>
  <si>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</si>
  <si>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</si>
  <si>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</si>
  <si>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</si>
  <si>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</si>
  <si>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</si>
  <si>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</si>
  <si>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</si>
  <si>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</si>
  <si>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</si>
  <si>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</si>
  <si>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</si>
  <si>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</si>
  <si>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</si>
  <si>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</si>
  <si>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</si>
  <si>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</si>
  <si>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</si>
  <si>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</si>
  <si>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</si>
  <si>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</si>
  <si>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</si>
  <si>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</si>
  <si>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</si>
  <si>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</si>
  <si>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</si>
  <si>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</si>
  <si>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</si>
  <si>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</si>
  <si>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</si>
  <si>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</si>
  <si>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</si>
  <si>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</si>
  <si>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</si>
  <si>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</si>
  <si>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</si>
  <si>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</si>
  <si>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</si>
  <si>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</si>
  <si>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</si>
  <si>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</si>
  <si>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</si>
  <si>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</si>
  <si>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</si>
  <si>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</si>
  <si>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</si>
  <si>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</si>
  <si>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</si>
  <si>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</si>
  <si>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</si>
  <si>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</si>
  <si>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</si>
  <si>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</si>
  <si>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</si>
  <si>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</si>
  <si>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</si>
  <si>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</si>
  <si>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</si>
  <si>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</si>
  <si>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</si>
  <si>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</si>
  <si>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</si>
  <si>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</si>
  <si>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</si>
  <si>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</si>
  <si>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</si>
  <si>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</si>
  <si>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</si>
  <si>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</si>
  <si>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</si>
  <si>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</si>
  <si>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</si>
  <si>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</si>
  <si>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</si>
  <si>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</si>
  <si>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</si>
  <si>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</si>
  <si>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</si>
  <si>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</si>
  <si>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</si>
  <si>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</si>
  <si>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</si>
  <si>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</si>
  <si>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</si>
  <si>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</si>
  <si>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</si>
  <si>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</si>
  <si>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</si>
  <si>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</si>
  <si>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</si>
  <si>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</si>
  <si>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</si>
  <si>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</si>
  <si>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</si>
  <si>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</si>
  <si>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</si>
  <si>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</si>
  <si>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</si>
  <si>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</si>
  <si>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</si>
  <si>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</si>
  <si>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</si>
  <si>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</si>
  <si>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</si>
  <si>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</si>
  <si>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</si>
  <si>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</si>
  <si>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</si>
  <si>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</si>
  <si>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</si>
  <si>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</si>
  <si>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</si>
  <si>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</si>
  <si>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</si>
  <si>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</si>
  <si>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</si>
  <si>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</si>
  <si>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</si>
  <si>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</si>
  <si>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</si>
  <si>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</si>
  <si>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</si>
  <si>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</si>
  <si>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</si>
  <si>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</si>
  <si>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</si>
  <si>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</si>
  <si>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</si>
  <si>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</si>
  <si>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</si>
  <si>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</si>
  <si>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</si>
  <si>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</si>
  <si>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</si>
  <si>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</si>
  <si>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</si>
  <si>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</si>
  <si>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</si>
  <si>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</si>
  <si>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</si>
  <si>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</si>
  <si>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</si>
  <si>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</si>
  <si>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</si>
  <si>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</si>
  <si>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</si>
  <si>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</si>
  <si>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</si>
  <si>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</si>
  <si>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</si>
  <si>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</si>
  <si>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</si>
  <si>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</si>
  <si>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</si>
  <si>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</si>
  <si>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</si>
  <si>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</si>
  <si>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</si>
  <si>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</si>
  <si>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</si>
  <si>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</si>
  <si>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</si>
  <si>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</si>
  <si>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</si>
  <si>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</si>
  <si>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</si>
  <si>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</si>
  <si>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</si>
  <si>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</si>
  <si>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</si>
  <si>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</si>
  <si>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</si>
  <si>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</si>
  <si>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</si>
  <si>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</si>
  <si>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</si>
  <si>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</si>
  <si>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</si>
  <si>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</si>
  <si>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</si>
  <si>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</si>
  <si>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</si>
  <si>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</si>
  <si>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</si>
  <si>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</si>
  <si>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</si>
  <si>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</si>
  <si>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</si>
  <si>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</si>
  <si>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</si>
  <si>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</si>
  <si>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</si>
  <si>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</si>
  <si>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</si>
  <si>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</si>
  <si>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</si>
  <si>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</si>
  <si>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</si>
  <si>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</si>
  <si>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</si>
  <si>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</si>
  <si>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</si>
  <si>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</si>
  <si>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</si>
  <si>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</si>
  <si>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</si>
  <si>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</si>
  <si>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</si>
  <si>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</si>
  <si>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</si>
  <si>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</si>
  <si>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</si>
  <si>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</si>
  <si>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</si>
  <si>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</si>
  <si>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</si>
  <si>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</si>
  <si>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</si>
  <si>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</si>
  <si>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</si>
  <si>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</si>
  <si>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</si>
  <si>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</si>
  <si>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</si>
  <si>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</si>
  <si>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</si>
  <si>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</si>
  <si>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</si>
  <si>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</si>
  <si>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</si>
  <si>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</si>
  <si>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</si>
  <si>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</si>
  <si>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</si>
  <si>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</si>
  <si>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</si>
  <si>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</si>
  <si>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</si>
  <si>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</si>
  <si>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</si>
  <si>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</si>
  <si>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</si>
  <si>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</si>
  <si>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</si>
  <si>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</si>
  <si>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</si>
  <si>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</si>
  <si>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</si>
  <si>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</si>
  <si>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</si>
  <si>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</si>
  <si>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</si>
  <si>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</si>
  <si>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</si>
  <si>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</si>
  <si>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</si>
  <si>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</si>
  <si>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</si>
  <si>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</si>
  <si>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</si>
  <si>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</si>
  <si>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</si>
  <si>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</si>
  <si>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</si>
  <si>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</si>
  <si>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</si>
  <si>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</si>
  <si>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</si>
  <si>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</si>
  <si>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</si>
  <si>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</si>
  <si>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</si>
  <si>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</si>
  <si>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</si>
  <si>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</si>
  <si>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</si>
  <si>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</si>
  <si>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</si>
  <si>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</si>
  <si>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</si>
  <si>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</si>
  <si>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</si>
  <si>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</si>
  <si>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</si>
  <si>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</si>
  <si>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</si>
  <si>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</si>
  <si>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</si>
  <si>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</si>
  <si>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</si>
  <si>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</si>
  <si>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</si>
  <si>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</si>
  <si>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</si>
  <si>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</si>
  <si>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</si>
  <si>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</si>
  <si>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</si>
  <si>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</si>
  <si>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</si>
  <si>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</si>
  <si>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</si>
  <si>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</si>
  <si>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</si>
  <si>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</si>
  <si>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</si>
  <si>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</si>
  <si>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</si>
  <si>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</si>
  <si>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</si>
  <si>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</si>
  <si>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</si>
  <si>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</si>
  <si>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</si>
  <si>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</si>
  <si>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</si>
  <si>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</si>
  <si>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</si>
  <si>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</si>
  <si>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</si>
  <si>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</si>
  <si>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</si>
  <si>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</si>
  <si>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</si>
  <si>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</si>
  <si>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</si>
  <si>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</si>
  <si>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</si>
  <si>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</si>
  <si>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</si>
  <si>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</si>
  <si>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</si>
  <si>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</si>
  <si>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</si>
  <si>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</si>
  <si>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</si>
  <si>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</si>
  <si>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</si>
  <si>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</si>
  <si>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</si>
  <si>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</si>
  <si>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</si>
  <si>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</si>
  <si>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</si>
  <si>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</si>
  <si>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</si>
  <si>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</si>
  <si>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</si>
  <si>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</si>
  <si>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</si>
  <si>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</si>
  <si>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</si>
  <si>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</si>
  <si>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</si>
  <si>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</si>
  <si>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</si>
  <si>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</si>
  <si>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</si>
  <si>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</si>
  <si>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</si>
  <si>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</si>
  <si>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</si>
  <si>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</si>
  <si>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</si>
  <si>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</si>
  <si>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</si>
  <si>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</si>
  <si>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</si>
  <si>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</si>
  <si>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</si>
  <si>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</si>
  <si>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</si>
  <si>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</si>
  <si>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</si>
  <si>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</si>
  <si>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</si>
  <si>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</si>
  <si>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</si>
  <si>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</si>
  <si>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</si>
  <si>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</si>
  <si>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</si>
  <si>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</si>
  <si>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</si>
  <si>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</si>
  <si>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</si>
  <si>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</si>
  <si>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</si>
  <si>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</si>
  <si>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</si>
  <si>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</si>
  <si>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</si>
  <si>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</si>
  <si>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</si>
  <si>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</si>
  <si>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</si>
  <si>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</si>
  <si>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</si>
  <si>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</si>
  <si>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</si>
  <si>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</si>
  <si>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</si>
  <si>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</si>
  <si>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</si>
  <si>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</si>
  <si>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</si>
  <si>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</si>
  <si>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</si>
  <si>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</si>
  <si>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</si>
  <si>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</si>
  <si>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</si>
  <si>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</si>
  <si>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</si>
  <si>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</si>
  <si>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</si>
  <si>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</si>
  <si>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</si>
  <si>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</si>
  <si>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</si>
  <si>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</si>
  <si>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</si>
  <si>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</si>
  <si>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</si>
  <si>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</si>
  <si>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</si>
  <si>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</si>
  <si>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</si>
  <si>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</si>
  <si>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</si>
  <si>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</si>
  <si>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</si>
  <si>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</si>
  <si>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</si>
  <si>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</si>
  <si>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</si>
  <si>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</si>
  <si>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</si>
  <si>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</si>
  <si>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</si>
  <si>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</si>
  <si>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</si>
  <si>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</si>
  <si>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</si>
  <si>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</si>
  <si>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</si>
  <si>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</si>
  <si>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</si>
  <si>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</si>
  <si>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</si>
  <si>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</si>
  <si>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</si>
  <si>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</si>
  <si>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</si>
  <si>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</si>
  <si>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</si>
  <si>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</si>
  <si>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</si>
  <si>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</si>
  <si>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</si>
  <si>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</si>
  <si>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</si>
  <si>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</si>
  <si>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</si>
  <si>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</si>
  <si>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</si>
  <si>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</si>
  <si>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</si>
  <si>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</si>
  <si>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</si>
  <si>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</si>
  <si>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</si>
  <si>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</si>
  <si>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</si>
  <si>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</si>
  <si>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</si>
  <si>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</si>
  <si>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</si>
  <si>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</si>
  <si>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</si>
  <si>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</si>
  <si>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</si>
  <si>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</si>
  <si>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</si>
  <si>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</si>
  <si>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</si>
  <si>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</si>
  <si>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</si>
  <si>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</si>
  <si>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</si>
  <si>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</si>
  <si>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</si>
  <si>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</si>
  <si>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</si>
  <si>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</si>
  <si>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</si>
  <si>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</si>
  <si>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</si>
  <si>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</si>
  <si>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</si>
  <si>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</si>
  <si>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</si>
  <si>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</si>
  <si>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</si>
  <si>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</si>
  <si>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</si>
  <si>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</si>
  <si>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</si>
  <si>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</si>
  <si>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</si>
  <si>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</si>
  <si>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</si>
  <si>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</si>
  <si>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</si>
  <si>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</si>
  <si>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</si>
  <si>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</si>
  <si>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</si>
  <si>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</si>
  <si>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</si>
  <si>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</si>
  <si>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</si>
  <si>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</si>
  <si>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</si>
  <si>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</si>
  <si>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</si>
  <si>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</si>
  <si>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</si>
  <si>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</si>
  <si>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</si>
  <si>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</si>
  <si>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</si>
  <si>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</si>
  <si>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</si>
  <si>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</si>
  <si>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</si>
  <si>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</si>
  <si>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</si>
  <si>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</si>
  <si>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</si>
  <si>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</si>
  <si>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</si>
  <si>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</si>
  <si>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</si>
  <si>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</si>
  <si>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</si>
  <si>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</si>
  <si>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</si>
  <si>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</si>
  <si>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US-2016-105578</t>
  </si>
  <si>
    <t>CA-2015-157812</t>
  </si>
  <si>
    <t>CA-2016-136924</t>
  </si>
  <si>
    <t>CA-2017-137099</t>
  </si>
  <si>
    <t>US-2016-156986</t>
  </si>
  <si>
    <t>US-2016-135720</t>
  </si>
  <si>
    <t>CA-2016-115917</t>
  </si>
  <si>
    <t>CA-2014-153150</t>
  </si>
  <si>
    <t>CA-2015-144267</t>
  </si>
  <si>
    <t>CA-2015-101910</t>
  </si>
  <si>
    <t>Chuck Magee</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</si>
  <si>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</si>
  <si>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</si>
  <si>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</si>
  <si>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</si>
  <si>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</si>
  <si>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</si>
  <si>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</si>
  <si>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</si>
  <si>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</si>
  <si>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</si>
  <si>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</si>
  <si>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</si>
  <si>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</si>
  <si>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</si>
  <si>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</si>
  <si>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</si>
  <si>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</si>
  <si>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</si>
  <si>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</si>
  <si>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</si>
  <si>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</si>
  <si>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</si>
  <si>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</si>
  <si>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</si>
  <si>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</si>
  <si>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</si>
  <si>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</si>
  <si>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</si>
  <si>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</si>
  <si>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</si>
  <si>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</si>
  <si>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</si>
  <si>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</si>
  <si>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</si>
  <si>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</si>
  <si>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</si>
  <si>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</si>
  <si>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</si>
  <si>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</si>
  <si>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</si>
  <si>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</si>
  <si>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</si>
  <si>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</si>
  <si>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</si>
  <si>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</si>
  <si>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</si>
  <si>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</si>
  <si>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</si>
  <si>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</si>
  <si>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</si>
  <si>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</si>
  <si>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</si>
  <si>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</si>
  <si>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</si>
  <si>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Kelly Williams</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</si>
  <si>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</si>
  <si>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</si>
  <si>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</si>
  <si>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</si>
  <si>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</si>
  <si>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</si>
  <si>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</si>
  <si>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</si>
  <si>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</si>
  <si>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</si>
  <si>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</si>
  <si>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</si>
  <si>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</si>
  <si>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</si>
  <si>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</si>
  <si>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</si>
  <si>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</si>
  <si>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</si>
  <si>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</si>
  <si>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</si>
  <si>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</si>
  <si>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</si>
  <si>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</si>
  <si>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</si>
  <si>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</si>
  <si>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</si>
  <si>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</si>
  <si>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</si>
  <si>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</si>
  <si>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</si>
  <si>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</si>
  <si>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</si>
  <si>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</si>
  <si>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</si>
  <si>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</si>
  <si>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</si>
  <si>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</si>
  <si>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</si>
  <si>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</si>
  <si>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</si>
  <si>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</si>
  <si>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</si>
  <si>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</si>
  <si>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</si>
  <si>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</si>
  <si>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</si>
  <si>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</si>
  <si>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</si>
  <si>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Anna Andreadi</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</si>
  <si>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</si>
  <si>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</si>
  <si>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</si>
  <si>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</si>
  <si>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</si>
  <si>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</si>
  <si>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</si>
  <si>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</si>
  <si>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</si>
  <si>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</si>
  <si>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</si>
  <si>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</si>
  <si>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</si>
  <si>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</si>
  <si>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</si>
  <si>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</si>
  <si>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</si>
  <si>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</si>
  <si>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</si>
  <si>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</si>
  <si>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</si>
  <si>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</si>
  <si>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</si>
  <si>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</si>
  <si>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</si>
  <si>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</si>
  <si>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</si>
  <si>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</si>
  <si>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</si>
  <si>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</si>
  <si>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</si>
  <si>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</si>
  <si>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</si>
  <si>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</si>
  <si>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</si>
  <si>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</si>
  <si>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</si>
  <si>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</si>
  <si>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</si>
  <si>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</si>
  <si>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</si>
  <si>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</si>
  <si>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</si>
  <si>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</si>
  <si>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</si>
  <si>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</si>
  <si>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</si>
  <si>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</si>
  <si>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</si>
  <si>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</si>
  <si>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</si>
  <si>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</si>
  <si>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</si>
  <si>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</si>
  <si>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</si>
  <si>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</si>
  <si>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</si>
  <si>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</si>
  <si>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</si>
  <si>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</si>
  <si>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</si>
  <si>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</si>
  <si>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</si>
  <si>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</si>
  <si>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</si>
  <si>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</si>
  <si>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</si>
  <si>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</si>
  <si>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</si>
  <si>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</si>
  <si>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</si>
  <si>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</si>
  <si>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</si>
  <si>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</si>
  <si>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</si>
  <si>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</si>
  <si>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</si>
  <si>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</si>
  <si>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</si>
  <si>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</si>
  <si>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</si>
  <si>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</si>
  <si>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</si>
  <si>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</si>
  <si>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</si>
  <si>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</si>
  <si>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</si>
  <si>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</si>
  <si>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</si>
  <si>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</si>
  <si>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</si>
  <si>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</si>
  <si>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</si>
  <si>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</si>
  <si>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</si>
  <si>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</si>
  <si>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</si>
  <si>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</si>
  <si>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</si>
  <si>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</si>
  <si>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</si>
  <si>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</si>
  <si>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</si>
  <si>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</si>
  <si>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</si>
  <si>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</si>
  <si>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</si>
  <si>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</si>
  <si>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</si>
  <si>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</si>
  <si>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</si>
  <si>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</si>
  <si>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</si>
  <si>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</si>
  <si>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</si>
  <si>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</si>
  <si>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</si>
  <si>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</si>
  <si>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</si>
  <si>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</si>
  <si>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</si>
  <si>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</si>
  <si>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</si>
  <si>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</si>
  <si>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</si>
  <si>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</si>
  <si>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</si>
  <si>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</si>
  <si>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</si>
  <si>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</si>
  <si>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</si>
  <si>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</si>
  <si>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</si>
  <si>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</si>
  <si>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</si>
  <si>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</si>
  <si>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</si>
  <si>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</si>
  <si>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</si>
  <si>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</si>
  <si>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</si>
  <si>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</si>
  <si>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</si>
  <si>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</si>
  <si>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</si>
  <si>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</si>
  <si>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</si>
  <si>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</si>
  <si>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</si>
  <si>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</si>
  <si>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</si>
  <si>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</si>
  <si>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</si>
  <si>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</si>
  <si>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</si>
  <si>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</si>
  <si>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</si>
  <si>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</si>
  <si>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</si>
  <si>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</si>
  <si>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</si>
  <si>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</si>
  <si>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</si>
  <si>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</si>
  <si>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</si>
  <si>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</si>
  <si>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</si>
  <si>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</si>
  <si>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</si>
  <si>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United States,Henderson</t>
  </si>
  <si>
    <t>United States,Los Angeles</t>
  </si>
  <si>
    <t>United States,Fort Lauderdale</t>
  </si>
  <si>
    <t>United States,Concord</t>
  </si>
  <si>
    <t>United States,Seattle</t>
  </si>
  <si>
    <t>United States,Fort Worth</t>
  </si>
  <si>
    <t>United States,Madison</t>
  </si>
  <si>
    <t>United States,West Jordan</t>
  </si>
  <si>
    <t>United States,San Francisco</t>
  </si>
  <si>
    <t>United States,Fremont</t>
  </si>
  <si>
    <t>United States,Philadelphia</t>
  </si>
  <si>
    <t>United States,Orem</t>
  </si>
  <si>
    <t>United States,Houston</t>
  </si>
  <si>
    <t>United States,Richardson</t>
  </si>
  <si>
    <t>United States,Naperville</t>
  </si>
  <si>
    <t>United States,Melbourne</t>
  </si>
  <si>
    <t>United States,Eagan</t>
  </si>
  <si>
    <t>United States,Westland</t>
  </si>
  <si>
    <t>United States,Dover</t>
  </si>
  <si>
    <t>United States,New Albany</t>
  </si>
  <si>
    <t>United States,New York City</t>
  </si>
  <si>
    <t>United States,Troy</t>
  </si>
  <si>
    <t>United States,Chicago</t>
  </si>
  <si>
    <t>United States,Gilbert</t>
  </si>
  <si>
    <t>United States,Springfield</t>
  </si>
  <si>
    <t>United States,Jackson</t>
  </si>
  <si>
    <t>United States,Memphis</t>
  </si>
  <si>
    <t>United States,Decatur</t>
  </si>
  <si>
    <t>United States,Durham</t>
  </si>
  <si>
    <t>United States,Columbia</t>
  </si>
  <si>
    <t>United States,Rochester</t>
  </si>
  <si>
    <t>United States,Minneapolis</t>
  </si>
  <si>
    <t>United States,Portland</t>
  </si>
  <si>
    <t>United States,Saint Paul</t>
  </si>
  <si>
    <t>United States,Aurora</t>
  </si>
  <si>
    <t>United States,Charlotte</t>
  </si>
  <si>
    <t>United States,Orland Park</t>
  </si>
  <si>
    <t>United States,Urbandale</t>
  </si>
  <si>
    <t>United States,Columbus</t>
  </si>
  <si>
    <t>United States,Bristol</t>
  </si>
  <si>
    <t>United States,Wilmington</t>
  </si>
  <si>
    <t>United States,Bloomington</t>
  </si>
  <si>
    <t>United States,Phoenix</t>
  </si>
  <si>
    <t>United States,Roseville</t>
  </si>
  <si>
    <t>United States,Independence</t>
  </si>
  <si>
    <t>United States,Pasadena</t>
  </si>
  <si>
    <t>United States,Newark</t>
  </si>
  <si>
    <t>United States,Franklin</t>
  </si>
  <si>
    <t>United States,Scottsdale</t>
  </si>
  <si>
    <t>United States,San Jose</t>
  </si>
  <si>
    <t>United States,Edmond</t>
  </si>
  <si>
    <t>United States,Carlsbad</t>
  </si>
  <si>
    <t>United States,San Antonio</t>
  </si>
  <si>
    <t>United States,Monroe</t>
  </si>
  <si>
    <t>United States,Fairfield</t>
  </si>
  <si>
    <t>United States,Grand Prairie</t>
  </si>
  <si>
    <t>United States,Redlands</t>
  </si>
  <si>
    <t>United States,Hamilton</t>
  </si>
  <si>
    <t>United States,Westfield</t>
  </si>
  <si>
    <t>United States,Akron</t>
  </si>
  <si>
    <t>United States,Denver</t>
  </si>
  <si>
    <t>United States,Dallas</t>
  </si>
  <si>
    <t>United States,Whittier</t>
  </si>
  <si>
    <t>United States,Saginaw</t>
  </si>
  <si>
    <t>United States,Medina</t>
  </si>
  <si>
    <t>United States,Dublin</t>
  </si>
  <si>
    <t>United States,Detroit</t>
  </si>
  <si>
    <t>United States,Tampa</t>
  </si>
  <si>
    <t>United States,Santa Clara</t>
  </si>
  <si>
    <t>United States,Lakeville</t>
  </si>
  <si>
    <t>United States,San Diego</t>
  </si>
  <si>
    <t>United States,Brentwood</t>
  </si>
  <si>
    <t>United States,Chapel Hill</t>
  </si>
  <si>
    <t>United States,Morristown</t>
  </si>
  <si>
    <t>United States,Cincinnati</t>
  </si>
  <si>
    <t>United States,Inglewood</t>
  </si>
  <si>
    <t>United States,Tamarac</t>
  </si>
  <si>
    <t>United States,Colorado Springs</t>
  </si>
  <si>
    <t>United States,Belleville</t>
  </si>
  <si>
    <t>United States,Taylor</t>
  </si>
  <si>
    <t>United States,Lakewood</t>
  </si>
  <si>
    <t>United States,Arlington</t>
  </si>
  <si>
    <t>United States,Arvada</t>
  </si>
  <si>
    <t>United States,Hackensack</t>
  </si>
  <si>
    <t>United States,Saint Petersburg</t>
  </si>
  <si>
    <t>United States,Long Beach</t>
  </si>
  <si>
    <t>United States,Hesperia</t>
  </si>
  <si>
    <t>United States,Murfreesboro</t>
  </si>
  <si>
    <t>United States,Layton</t>
  </si>
  <si>
    <t>United States,Austin</t>
  </si>
  <si>
    <t>United States,Lowell</t>
  </si>
  <si>
    <t>United States,Manchester</t>
  </si>
  <si>
    <t>United States,Harlingen</t>
  </si>
  <si>
    <t>United States,Tucson</t>
  </si>
  <si>
    <t>United States,Quincy</t>
  </si>
  <si>
    <t>United States,Pembroke Pines</t>
  </si>
  <si>
    <t>United States,Des Moines</t>
  </si>
  <si>
    <t>United States,Peoria</t>
  </si>
  <si>
    <t>United States,Las Vegas</t>
  </si>
  <si>
    <t>United States,Warwick</t>
  </si>
  <si>
    <t>United States,Miami</t>
  </si>
  <si>
    <t>United States,Huntington Beach</t>
  </si>
  <si>
    <t>United States,Richmond</t>
  </si>
  <si>
    <t>United States,Louisville</t>
  </si>
  <si>
    <t>United States,Lawrence</t>
  </si>
  <si>
    <t>United States,Canton</t>
  </si>
  <si>
    <t>United States,New Rochelle</t>
  </si>
  <si>
    <t>United States,Gastonia</t>
  </si>
  <si>
    <t>United States,Jacksonville</t>
  </si>
  <si>
    <t>United States,Auburn</t>
  </si>
  <si>
    <t>United States,Norman</t>
  </si>
  <si>
    <t>United States,Park Ridge</t>
  </si>
  <si>
    <t>United States,Amarillo</t>
  </si>
  <si>
    <t>United States,Lindenhurst</t>
  </si>
  <si>
    <t>United States,Huntsville</t>
  </si>
  <si>
    <t>United States,Fayetteville</t>
  </si>
  <si>
    <t>United States,Costa Mesa</t>
  </si>
  <si>
    <t>Location</t>
  </si>
  <si>
    <t>1101102016</t>
  </si>
  <si>
    <t>601602016</t>
  </si>
  <si>
    <t>1001802015</t>
  </si>
  <si>
    <t>601402014</t>
  </si>
  <si>
    <t>402002017</t>
  </si>
  <si>
    <t>1201002016</t>
  </si>
  <si>
    <t>1102602015</t>
  </si>
  <si>
    <t>1101802014</t>
  </si>
  <si>
    <t>501502014</t>
  </si>
  <si>
    <t>90102014</t>
  </si>
  <si>
    <t>1201302016</t>
  </si>
  <si>
    <t>701802017</t>
  </si>
  <si>
    <t>903002015</t>
  </si>
  <si>
    <t>102002016</t>
  </si>
  <si>
    <t>902102015</t>
  </si>
  <si>
    <t>1002302017</t>
  </si>
  <si>
    <t>1203102015</t>
  </si>
  <si>
    <t>901502017</t>
  </si>
  <si>
    <t>702202016</t>
  </si>
  <si>
    <t>902302017</t>
  </si>
  <si>
    <t>301302016</t>
  </si>
  <si>
    <t>1002502014</t>
  </si>
  <si>
    <t>602502016</t>
  </si>
  <si>
    <t>402202015</t>
  </si>
  <si>
    <t>1201702016</t>
  </si>
  <si>
    <t>601802016</t>
  </si>
  <si>
    <t>1103002015</t>
  </si>
  <si>
    <t>50502015</t>
  </si>
  <si>
    <t>1201002014</t>
  </si>
  <si>
    <t>60602016</t>
  </si>
  <si>
    <t>902302016</t>
  </si>
  <si>
    <t>901702017</t>
  </si>
  <si>
    <t>50202015</t>
  </si>
  <si>
    <t>1201102017</t>
  </si>
  <si>
    <t>120102014</t>
  </si>
  <si>
    <t>601502016</t>
  </si>
  <si>
    <t>1001602014</t>
  </si>
  <si>
    <t>90802015</t>
  </si>
  <si>
    <t>1101602017</t>
  </si>
  <si>
    <t>503002017</t>
  </si>
  <si>
    <t>110202017</t>
  </si>
  <si>
    <t>401002016</t>
  </si>
  <si>
    <t>902202016</t>
  </si>
  <si>
    <t>20502015</t>
  </si>
  <si>
    <t>1101202017</t>
  </si>
  <si>
    <t>1101102017</t>
  </si>
  <si>
    <t>602002017</t>
  </si>
  <si>
    <t>901102016</t>
  </si>
  <si>
    <t>90202016</t>
  </si>
  <si>
    <t>120402016</t>
  </si>
  <si>
    <t>1101702015</t>
  </si>
  <si>
    <t>1102802017</t>
  </si>
  <si>
    <t>1002002015</t>
  </si>
  <si>
    <t>1203002017</t>
  </si>
  <si>
    <t>1101002016</t>
  </si>
  <si>
    <t>802702014</t>
  </si>
  <si>
    <t>30602015</t>
  </si>
  <si>
    <t>401002015</t>
  </si>
  <si>
    <t>1202802014</t>
  </si>
  <si>
    <t>902502014</t>
  </si>
  <si>
    <t>20502017</t>
  </si>
  <si>
    <t>1001902016</t>
  </si>
  <si>
    <t>90702016</t>
  </si>
  <si>
    <t>1202702017</t>
  </si>
  <si>
    <t>901202015</t>
  </si>
  <si>
    <t>1002802014</t>
  </si>
  <si>
    <t>120902016</t>
  </si>
  <si>
    <t>301602016</t>
  </si>
  <si>
    <t>60202015</t>
  </si>
  <si>
    <t>60302015</t>
  </si>
  <si>
    <t>30602014</t>
  </si>
  <si>
    <t>1102402016</t>
  </si>
  <si>
    <t>501202016</t>
  </si>
  <si>
    <t>1102002016</t>
  </si>
  <si>
    <t>901202014</t>
  </si>
  <si>
    <t>80902014</t>
  </si>
  <si>
    <t>901902014</t>
  </si>
  <si>
    <t>402502017</t>
  </si>
  <si>
    <t>1102302015</t>
  </si>
  <si>
    <t>1201902015</t>
  </si>
  <si>
    <t>120902014</t>
  </si>
  <si>
    <t>1102402014</t>
  </si>
  <si>
    <t>120202016</t>
  </si>
  <si>
    <t>803002014</t>
  </si>
  <si>
    <t>1001402015</t>
  </si>
  <si>
    <t>110602015</t>
  </si>
  <si>
    <t>302502014</t>
  </si>
  <si>
    <t>1101302017</t>
  </si>
  <si>
    <t>701302017</t>
  </si>
  <si>
    <t>602902017</t>
  </si>
  <si>
    <t>80502014</t>
  </si>
  <si>
    <t>1202102017</t>
  </si>
  <si>
    <t>60702017</t>
  </si>
  <si>
    <t>1201402017</t>
  </si>
  <si>
    <t>120702017</t>
  </si>
  <si>
    <t>201302015</t>
  </si>
  <si>
    <t>10902015</t>
  </si>
  <si>
    <t>110102016</t>
  </si>
  <si>
    <t>1202702015</t>
  </si>
  <si>
    <t>801602015</t>
  </si>
  <si>
    <t>30402015</t>
  </si>
  <si>
    <t>901702014</t>
  </si>
  <si>
    <t>401202017</t>
  </si>
  <si>
    <t>60902016</t>
  </si>
  <si>
    <t>60602014</t>
  </si>
  <si>
    <t>1201502016</t>
  </si>
  <si>
    <t>901702016</t>
  </si>
  <si>
    <t>120402015</t>
  </si>
  <si>
    <t>120302017</t>
  </si>
  <si>
    <t>601202017</t>
  </si>
  <si>
    <t>902102014</t>
  </si>
  <si>
    <t>601302016</t>
  </si>
  <si>
    <t>1101502015</t>
  </si>
  <si>
    <t>102802016</t>
  </si>
  <si>
    <t>1201302017</t>
  </si>
  <si>
    <t>10202018</t>
  </si>
  <si>
    <t>703102015</t>
  </si>
  <si>
    <t>1001702017</t>
  </si>
  <si>
    <t>902802015</t>
  </si>
  <si>
    <t>100202015</t>
  </si>
  <si>
    <t>1202002016</t>
  </si>
  <si>
    <t>110302016</t>
  </si>
  <si>
    <t>1102302017</t>
  </si>
  <si>
    <t>50902015</t>
  </si>
  <si>
    <t>10402015</t>
  </si>
  <si>
    <t>401702017</t>
  </si>
  <si>
    <t>901402016</t>
  </si>
  <si>
    <t>100302014</t>
  </si>
  <si>
    <t>801602014</t>
  </si>
  <si>
    <t>1203002014</t>
  </si>
  <si>
    <t>110902014</t>
  </si>
  <si>
    <t>902402014</t>
  </si>
  <si>
    <t>402702016</t>
  </si>
  <si>
    <t>110502017</t>
  </si>
  <si>
    <t>90102016</t>
  </si>
  <si>
    <t>402902016</t>
  </si>
  <si>
    <t>90402015</t>
  </si>
  <si>
    <t>701702014</t>
  </si>
  <si>
    <t>602602015</t>
  </si>
  <si>
    <t>401702014</t>
  </si>
  <si>
    <t>1202402015</t>
  </si>
  <si>
    <t>601902017</t>
  </si>
  <si>
    <t>701202017</t>
  </si>
  <si>
    <t>90302016</t>
  </si>
  <si>
    <t>401302016</t>
  </si>
  <si>
    <t>402802016</t>
  </si>
  <si>
    <t>301102017</t>
  </si>
  <si>
    <t>100102017</t>
  </si>
  <si>
    <t>902902014</t>
  </si>
  <si>
    <t>1002102016</t>
  </si>
  <si>
    <t>60402017</t>
  </si>
  <si>
    <t>702702014</t>
  </si>
  <si>
    <t>100102016</t>
  </si>
  <si>
    <t>90102017</t>
  </si>
  <si>
    <t>1002902016</t>
  </si>
  <si>
    <t>602902015</t>
  </si>
  <si>
    <t>120202015</t>
  </si>
  <si>
    <t>120702015</t>
  </si>
  <si>
    <t>1102602014</t>
  </si>
  <si>
    <t>1201502017</t>
  </si>
  <si>
    <t>902302014</t>
  </si>
  <si>
    <t>601002014</t>
  </si>
  <si>
    <t>70502017</t>
  </si>
  <si>
    <t>1001902017</t>
  </si>
  <si>
    <t>110402015</t>
  </si>
  <si>
    <t>901002016</t>
  </si>
  <si>
    <t>1202602014</t>
  </si>
  <si>
    <t>402002014</t>
  </si>
  <si>
    <t>1202902017</t>
  </si>
  <si>
    <t>1201202017</t>
  </si>
  <si>
    <t>110702017</t>
  </si>
  <si>
    <t>602802017</t>
  </si>
  <si>
    <t>401802016</t>
  </si>
  <si>
    <t>1101002017</t>
  </si>
  <si>
    <t>30902017</t>
  </si>
  <si>
    <t>602502014</t>
  </si>
  <si>
    <t>802302017</t>
  </si>
  <si>
    <t>1102602017</t>
  </si>
  <si>
    <t>901302014</t>
  </si>
  <si>
    <t>100802017</t>
  </si>
  <si>
    <t>402102016</t>
  </si>
  <si>
    <t>60702016</t>
  </si>
  <si>
    <t>1202502014</t>
  </si>
  <si>
    <t>601402016</t>
  </si>
  <si>
    <t>901902017</t>
  </si>
  <si>
    <t>102302017</t>
  </si>
  <si>
    <t>302502017</t>
  </si>
  <si>
    <t>40302016</t>
  </si>
  <si>
    <t>1002402017</t>
  </si>
  <si>
    <t>201802014</t>
  </si>
  <si>
    <t>1202202015</t>
  </si>
  <si>
    <t>102402015</t>
  </si>
  <si>
    <t>40402017</t>
  </si>
  <si>
    <t>1101102014</t>
  </si>
  <si>
    <t>701902016</t>
  </si>
  <si>
    <t>110202016</t>
  </si>
  <si>
    <t>70202016</t>
  </si>
  <si>
    <t>1001002014</t>
  </si>
  <si>
    <t>601302017</t>
  </si>
  <si>
    <t>1003102014</t>
  </si>
  <si>
    <t>601302014</t>
  </si>
  <si>
    <t>501402016</t>
  </si>
  <si>
    <t>302102016</t>
  </si>
  <si>
    <t>703102016</t>
  </si>
  <si>
    <t>Returned</t>
  </si>
  <si>
    <t>Yes</t>
  </si>
  <si>
    <t>Person</t>
  </si>
  <si>
    <t>Year</t>
  </si>
  <si>
    <t>Month</t>
  </si>
  <si>
    <t>Grand Total</t>
  </si>
  <si>
    <t>Sum of Sales</t>
  </si>
  <si>
    <t>Sum of Profit</t>
  </si>
  <si>
    <t>Sub_Category</t>
  </si>
  <si>
    <t>City</t>
  </si>
  <si>
    <t>Chicago</t>
  </si>
  <si>
    <t>Franklin</t>
  </si>
  <si>
    <t>Houston</t>
  </si>
  <si>
    <t>Lakeville</t>
  </si>
  <si>
    <t>Los Angeles</t>
  </si>
  <si>
    <t>New York City</t>
  </si>
  <si>
    <t>Philadelphia</t>
  </si>
  <si>
    <t>San Antonio</t>
  </si>
  <si>
    <t>San Diego</t>
  </si>
  <si>
    <t>San Francisco</t>
  </si>
  <si>
    <t>Sate</t>
  </si>
  <si>
    <t>Total Sales</t>
  </si>
  <si>
    <t>Count of Returned</t>
  </si>
  <si>
    <t>Sum of Discount</t>
  </si>
  <si>
    <t>Sum of Quantity</t>
  </si>
  <si>
    <t>Column Labels</t>
  </si>
  <si>
    <t>Sales By Sate &amp;Cat</t>
  </si>
  <si>
    <t>Row Labels</t>
  </si>
  <si>
    <t>Sales  Performace Report  For 2014 To 2018</t>
  </si>
  <si>
    <t>Filters</t>
  </si>
  <si>
    <t>2016</t>
  </si>
  <si>
    <t>2015</t>
  </si>
  <si>
    <t>2014</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</si>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</sst>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6" x14ac:knownFonts="1">
    <font>
      <sz val="11"/>
      <color theme="1"/>
      <name val="Calibri"/>
      <family val="2"/>
      <scheme val="minor"/>
    </font>
    <font>
      <sz val="12"/>
      <color rgb="FF000000"/>
      <name val="Calibri"/>
      <family val="2"/>
      <scheme val="minor"/>
    </font>
    <font>
      <b/>
      <sz val="11"/>
      <color theme="1"/>
      <name val="Calibri"/>
      <family val="2"/>
      <scheme val="minor"/>
    </font>
    <font>
      <sz val="18"/>
      <color theme="1"/>
      <name val="Calibri"/>
      <family val="2"/>
      <scheme val="minor"/>
    </font>
    <font>
      <u/>
      <sz val="36"/>
      <color rgb="FF00B0F0"/>
      <name val="Calibri"/>
      <family val="2"/>
      <scheme val="minor"/>
    </font>
    <font>
      <sz val="11"/>
      <color rgb="FF00B0F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14" fontId="0" fillId="0" borderId="0" xfId="0" applyNumberFormat="1"/>
    <xf numFmtId="0" fontId="1" fillId="2" borderId="0" xfId="0" applyFont="1" applyFill="1"/>
    <xf numFmtId="14" fontId="0" fillId="2" borderId="0" xfId="0" applyNumberFormat="1" applyFill="1"/>
    <xf numFmtId="0" fontId="0" fillId="2" borderId="0" xfId="0" applyFill="1"/>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0" fontId="0" fillId="0" borderId="0" xfId="0" applyNumberFormat="1"/>
    <xf numFmtId="0" fontId="0" fillId="0" borderId="0" xfId="0" applyBorder="1"/>
    <xf numFmtId="0" fontId="3" fillId="3" borderId="0" xfId="0" applyFont="1" applyFill="1" applyBorder="1" applyAlignment="1">
      <alignment horizontal="center" vertical="center"/>
    </xf>
    <xf numFmtId="0" fontId="0" fillId="3" borderId="0" xfId="0" applyFill="1" applyBorder="1" applyAlignment="1">
      <alignment horizontal="center" vertical="center"/>
    </xf>
    <xf numFmtId="0" fontId="5" fillId="0" borderId="0" xfId="0" applyFont="1" applyBorder="1"/>
    <xf numFmtId="0" fontId="4" fillId="4" borderId="0" xfId="0" applyFont="1" applyFill="1" applyBorder="1" applyAlignment="1">
      <alignment horizontal="center" vertical="center"/>
    </xf>
    <xf numFmtId="0" fontId="5" fillId="4" borderId="0" xfId="0" applyFont="1" applyFill="1" applyBorder="1" applyAlignment="1">
      <alignment horizontal="center" vertical="center"/>
    </xf>
  </cellXfs>
  <cellStyles count="1">
    <cellStyle name="Normal" xfId="0" builtinId="0"/>
  </cellStyles>
  <dxfs count="5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7" formatCode="_(* #,##0.0_);_(* \(#,##0.0\);_(* &quot;-&quot;??_);_(@_)"/>
    </dxf>
    <dxf>
      <numFmt numFmtId="167" formatCode="_(* #,##0.0_);_(* \(#,##0.0\);_(* &quot;-&quot;??_);_(@_)"/>
    </dxf>
    <dxf>
      <numFmt numFmtId="35" formatCode="_(* #,##0.00_);_(* \(#,##0.00\);_(* &quot;-&quot;??_);_(@_)"/>
    </dxf>
    <dxf>
      <numFmt numFmtId="35" formatCode="_(* #,##0.00_);_(* \(#,##0.00\);_(* &quot;-&quot;??_);_(@_)"/>
    </dxf>
    <dxf>
      <numFmt numFmtId="165" formatCode="_(* #,##0.000_);_(* \(#,##0.000\);_(* &quot;-&quot;??_);_(@_)"/>
    </dxf>
    <dxf>
      <numFmt numFmtId="165" formatCode="_(* #,##0.000_);_(* \(#,##0.000\);_(* &quot;-&quot;??_);_(@_)"/>
    </dxf>
    <dxf>
      <numFmt numFmtId="166" formatCode="_(* #,##0.0000_);_(* \(#,##0.0000\);_(* &quot;-&quot;??_);_(@_)"/>
    </dxf>
    <dxf>
      <numFmt numFmtId="166" formatCode="_(* #,##0.0000_);_(* \(#,##0.0000\);_(* &quot;-&quot;??_);_(@_)"/>
    </dxf>
    <dxf>
      <numFmt numFmtId="165" formatCode="_(* #,##0.000_);_(* \(#,##0.000\);_(* &quot;-&quot;??_);_(@_)"/>
    </dxf>
    <dxf>
      <numFmt numFmtId="165" formatCode="_(* #,##0.000_);_(* \(#,##0.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164" formatCode="_(* #,##0_);_(* \(#,##0\);_(* &quot;-&quot;??_);_(@_)"/>
    </dxf>
    <dxf>
      <numFmt numFmtId="0" formatCode="General"/>
      <fill>
        <patternFill patternType="solid">
          <fgColor indexed="64"/>
          <bgColor rgb="FFFFFF00"/>
        </patternFill>
      </fill>
    </dxf>
    <dxf>
      <fill>
        <patternFill patternType="solid">
          <fgColor indexed="64"/>
          <bgColor rgb="FFFFFF00"/>
        </patternFill>
      </fill>
    </dxf>
    <dxf>
      <numFmt numFmtId="19" formatCode="m/d/yyyy"/>
      <fill>
        <patternFill patternType="solid">
          <fgColor indexed="64"/>
          <bgColor rgb="FFFFFF00"/>
        </patternFill>
      </fill>
    </dxf>
    <dxf>
      <numFmt numFmtId="19" formatCode="m/d/yyyy"/>
    </dxf>
    <dxf>
      <numFmt numFmtId="19" formatCode="m/d/yyyy"/>
    </dxf>
    <dxf>
      <numFmt numFmtId="19" formatCode="m/d/yyyy"/>
    </dxf>
    <dxf>
      <font>
        <b val="0"/>
        <i val="0"/>
        <strike val="0"/>
        <condense val="0"/>
        <extend val="0"/>
        <outline val="0"/>
        <shadow val="0"/>
        <u val="none"/>
        <vertAlign val="baseline"/>
        <sz val="12"/>
        <color rgb="FF000000"/>
        <name val="Calibri"/>
        <family val="2"/>
        <scheme val="minor"/>
      </font>
    </dxf>
    <dxf>
      <font>
        <b val="0"/>
        <i val="0"/>
        <u/>
        <sz val="12"/>
        <color theme="4"/>
        <name val="Calibri Light"/>
        <family val="2"/>
        <scheme val="major"/>
      </font>
    </dxf>
    <dxf>
      <font>
        <b val="0"/>
        <i/>
        <sz val="12"/>
        <color theme="4"/>
        <name val="AGA Arabesque Desktop"/>
        <charset val="2"/>
        <scheme val="none"/>
      </font>
    </dxf>
    <dxf>
      <font>
        <color theme="2" tint="-0.499984740745262"/>
      </font>
    </dxf>
  </dxfs>
  <tableStyles count="5" defaultTableStyle="TableStyleMedium2" defaultPivotStyle="PivotStyleLight16">
    <tableStyle name="Invisible" pivot="0" table="0" count="0" xr9:uid="{77FD65AE-A5F9-4CAC-B67E-E375F9AE7922}"/>
    <tableStyle name="Slicer Style 1" pivot="0" table="0" count="1" xr9:uid="{85DFE645-69DB-47AA-94F3-E1DB9B508B44}">
      <tableStyleElement type="wholeTable" dxfId="53"/>
    </tableStyle>
    <tableStyle name="Slicer Style 2" pivot="0" table="0" count="1" xr9:uid="{115B4D04-1C20-4F47-9F84-BBE7D024D024}">
      <tableStyleElement type="wholeTable" dxfId="52"/>
    </tableStyle>
    <tableStyle name="Slicer Style 3" pivot="0" table="0" count="1" xr9:uid="{C4F2D7FE-EA29-4FCA-985D-3432A8D21A24}">
      <tableStyleElement type="wholeTable" dxfId="51"/>
    </tableStyle>
    <tableStyle name="Slicer Style 4" pivot="0" table="0" count="1" xr9:uid="{31363546-003F-4005-89D2-CAF32F5F6FC4}"/>
  </tableStyles>
  <extLst>
    <ext xmlns:x14="http://schemas.microsoft.com/office/spreadsheetml/2009/9/main" uri="{46F421CA-312F-682f-3DD2-61675219B42D}">
      <x14:dxfs count="1">
        <dxf>
          <font>
            <b val="0"/>
            <i val="0"/>
            <sz val="12"/>
            <color rgb="FF00B0F0"/>
            <name val="Calibri Light"/>
            <family val="2"/>
            <scheme val="major"/>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Table!pvt_Category</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98102165100245"/>
          <c:y val="0.38023170166307729"/>
          <c:w val="0.626538781707216"/>
          <c:h val="0.44654915201005024"/>
        </c:manualLayout>
      </c:layout>
      <c:barChart>
        <c:barDir val="col"/>
        <c:grouping val="clustered"/>
        <c:varyColors val="0"/>
        <c:ser>
          <c:idx val="0"/>
          <c:order val="0"/>
          <c:tx>
            <c:strRef>
              <c:f>'pivot Table'!$B$2</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'pivot Table'!$A$3:$A$6</c:f>
              <c:strCache>
                <c:ptCount val="3"/>
                <c:pt idx="0">
                  <c:v>Furniture</c:v>
                </c:pt>
                <c:pt idx="1">
                  <c:v>Office Supplies</c:v>
                </c:pt>
                <c:pt idx="2">
                  <c:v>Technology</c:v>
                </c:pt>
              </c:strCache>
            </c:strRef>
          </c:cat>
          <c:val>
            <c:numRef>
              <c:f>'pivot Table'!$B$3:$B$6</c:f>
              <c:numCache>
                <c:formatCode>General</c:formatCode>
                <c:ptCount val="3"/>
                <c:pt idx="0">
                  <c:v>45847.610099999976</c:v>
                </c:pt>
                <c:pt idx="1">
                  <c:v>31467.874999999975</c:v>
                </c:pt>
                <c:pt idx="2">
                  <c:v>52041.53100000001</c:v>
                </c:pt>
              </c:numCache>
            </c:numRef>
          </c:val>
          <c:extLst>
            <c:ext xmlns:c16="http://schemas.microsoft.com/office/drawing/2014/chart" uri="{C3380CC4-5D6E-409C-BE32-E72D297353CC}">
              <c16:uniqueId val="{00000000-4403-47F0-9E57-B3497C5D3FBB}"/>
            </c:ext>
          </c:extLst>
        </c:ser>
        <c:dLbls>
          <c:showLegendKey val="0"/>
          <c:showVal val="0"/>
          <c:showCatName val="0"/>
          <c:showSerName val="0"/>
          <c:showPercent val="0"/>
          <c:showBubbleSize val="0"/>
        </c:dLbls>
        <c:gapWidth val="100"/>
        <c:overlap val="-24"/>
        <c:axId val="346300496"/>
        <c:axId val="405663056"/>
      </c:barChart>
      <c:catAx>
        <c:axId val="3463004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663056"/>
        <c:crosses val="autoZero"/>
        <c:auto val="1"/>
        <c:lblAlgn val="ctr"/>
        <c:lblOffset val="100"/>
        <c:noMultiLvlLbl val="0"/>
      </c:catAx>
      <c:valAx>
        <c:axId val="4056630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630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Table!pvt_Region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Region&amp;Sales 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'pivot Table'!$A$11:$A$15</c:f>
              <c:strCache>
                <c:ptCount val="4"/>
                <c:pt idx="0">
                  <c:v>Central</c:v>
                </c:pt>
                <c:pt idx="1">
                  <c:v>East</c:v>
                </c:pt>
                <c:pt idx="2">
                  <c:v>South</c:v>
                </c:pt>
                <c:pt idx="3">
                  <c:v>West</c:v>
                </c:pt>
              </c:strCache>
            </c:strRef>
          </c:cat>
          <c:val>
            <c:numRef>
              <c:f>'pivot Table'!$B$11:$B$15</c:f>
              <c:numCache>
                <c:formatCode>General</c:formatCode>
                <c:ptCount val="4"/>
                <c:pt idx="0">
                  <c:v>45502.307599999978</c:v>
                </c:pt>
                <c:pt idx="1">
                  <c:v>33797.924000000014</c:v>
                </c:pt>
                <c:pt idx="2">
                  <c:v>12344.4475</c:v>
                </c:pt>
                <c:pt idx="3">
                  <c:v>37712.336999999978</c:v>
                </c:pt>
              </c:numCache>
            </c:numRef>
          </c:val>
          <c:extLst>
            <c:ext xmlns:c16="http://schemas.microsoft.com/office/drawing/2014/chart" uri="{C3380CC4-5D6E-409C-BE32-E72D297353CC}">
              <c16:uniqueId val="{00000000-7417-48F3-A91E-EDA25BB9C6EC}"/>
            </c:ext>
          </c:extLst>
        </c:ser>
        <c:dLbls>
          <c:showLegendKey val="0"/>
          <c:showVal val="0"/>
          <c:showCatName val="0"/>
          <c:showSerName val="0"/>
          <c:showPercent val="0"/>
          <c:showBubbleSize val="0"/>
        </c:dLbls>
        <c:gapWidth val="100"/>
        <c:overlap val="-24"/>
        <c:axId val="475619664"/>
        <c:axId val="472742448"/>
      </c:barChart>
      <c:catAx>
        <c:axId val="4756196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42448"/>
        <c:crosses val="autoZero"/>
        <c:auto val="1"/>
        <c:lblAlgn val="ctr"/>
        <c:lblOffset val="100"/>
        <c:noMultiLvlLbl val="0"/>
      </c:catAx>
      <c:valAx>
        <c:axId val="472742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561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Table!pvt_subCategory</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Sub_Category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8653591665278461"/>
          <c:y val="0.3008932678900661"/>
          <c:w val="0.39340679723134486"/>
          <c:h val="0.64396132277310525"/>
        </c:manualLayout>
      </c:layout>
      <c:pieChart>
        <c:varyColors val="1"/>
        <c:ser>
          <c:idx val="0"/>
          <c:order val="0"/>
          <c:tx>
            <c:strRef>
              <c:f>'pivot Table'!$B$19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CF-4185-A866-DAC9621CD6F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CF-4185-A866-DAC9621CD6F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2CF-4185-A866-DAC9621CD6F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2CF-4185-A866-DAC9621CD6F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2CF-4185-A866-DAC9621CD6F0}"/>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2CF-4185-A866-DAC9621CD6F0}"/>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2CF-4185-A866-DAC9621CD6F0}"/>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62CF-4185-A866-DAC9621CD6F0}"/>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2CF-4185-A866-DAC9621CD6F0}"/>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2CF-4185-A866-DAC9621CD6F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Table'!$A$20:$A$30</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 Table'!$B$20:$B$30</c:f>
              <c:numCache>
                <c:formatCode>General</c:formatCode>
                <c:ptCount val="10"/>
                <c:pt idx="0">
                  <c:v>11354.332</c:v>
                </c:pt>
                <c:pt idx="1">
                  <c:v>4498.0119999999997</c:v>
                </c:pt>
                <c:pt idx="2">
                  <c:v>7848.5929999999998</c:v>
                </c:pt>
                <c:pt idx="3">
                  <c:v>12050.579600000001</c:v>
                </c:pt>
                <c:pt idx="4">
                  <c:v>16563.644999999997</c:v>
                </c:pt>
                <c:pt idx="5">
                  <c:v>3959.9300000000003</c:v>
                </c:pt>
                <c:pt idx="6">
                  <c:v>20960.168999999998</c:v>
                </c:pt>
                <c:pt idx="7">
                  <c:v>15767.100000000004</c:v>
                </c:pt>
                <c:pt idx="8">
                  <c:v>10486.334000000001</c:v>
                </c:pt>
                <c:pt idx="9">
                  <c:v>13557.569499999998</c:v>
                </c:pt>
              </c:numCache>
            </c:numRef>
          </c:val>
          <c:extLst>
            <c:ext xmlns:c16="http://schemas.microsoft.com/office/drawing/2014/chart" uri="{C3380CC4-5D6E-409C-BE32-E72D297353CC}">
              <c16:uniqueId val="{00000014-62CF-4185-A866-DAC9621CD6F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3744193688579939"/>
          <c:y val="0.12881423540378367"/>
          <c:w val="0.72235759211529693"/>
          <c:h val="0.123036044280148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Table!pvt_state</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Sate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Table'!$E$19:$E$20</c:f>
              <c:strCache>
                <c:ptCount val="1"/>
                <c:pt idx="0">
                  <c:v>Furniture</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'pivot Table'!$D$21:$D$31</c:f>
              <c:strCache>
                <c:ptCount val="10"/>
                <c:pt idx="0">
                  <c:v>Arizona</c:v>
                </c:pt>
                <c:pt idx="1">
                  <c:v>California</c:v>
                </c:pt>
                <c:pt idx="2">
                  <c:v>Florida</c:v>
                </c:pt>
                <c:pt idx="3">
                  <c:v>Illinois</c:v>
                </c:pt>
                <c:pt idx="4">
                  <c:v>Minnesota</c:v>
                </c:pt>
                <c:pt idx="5">
                  <c:v>New York</c:v>
                </c:pt>
                <c:pt idx="6">
                  <c:v>Ohio</c:v>
                </c:pt>
                <c:pt idx="7">
                  <c:v>Pennsylvania</c:v>
                </c:pt>
                <c:pt idx="8">
                  <c:v>Texas</c:v>
                </c:pt>
                <c:pt idx="9">
                  <c:v>Washington</c:v>
                </c:pt>
              </c:strCache>
            </c:strRef>
          </c:cat>
          <c:val>
            <c:numRef>
              <c:f>'pivot Table'!$E$21:$E$31</c:f>
              <c:numCache>
                <c:formatCode>General</c:formatCode>
                <c:ptCount val="10"/>
                <c:pt idx="0">
                  <c:v>1296.1899999999998</c:v>
                </c:pt>
                <c:pt idx="1">
                  <c:v>8804.0399999999991</c:v>
                </c:pt>
                <c:pt idx="2">
                  <c:v>2445.5815000000002</c:v>
                </c:pt>
                <c:pt idx="3">
                  <c:v>2676.9610000000007</c:v>
                </c:pt>
                <c:pt idx="4">
                  <c:v>2055.2000000000003</c:v>
                </c:pt>
                <c:pt idx="5">
                  <c:v>3318.5860000000002</c:v>
                </c:pt>
                <c:pt idx="6">
                  <c:v>1387.1780000000001</c:v>
                </c:pt>
                <c:pt idx="7">
                  <c:v>4151.5060000000003</c:v>
                </c:pt>
                <c:pt idx="8">
                  <c:v>5906.6015999999991</c:v>
                </c:pt>
                <c:pt idx="9">
                  <c:v>1552.2339999999999</c:v>
                </c:pt>
              </c:numCache>
            </c:numRef>
          </c:val>
          <c:extLst>
            <c:ext xmlns:c16="http://schemas.microsoft.com/office/drawing/2014/chart" uri="{C3380CC4-5D6E-409C-BE32-E72D297353CC}">
              <c16:uniqueId val="{00000000-8F4C-476A-95B3-95F2ECBB1576}"/>
            </c:ext>
          </c:extLst>
        </c:ser>
        <c:ser>
          <c:idx val="1"/>
          <c:order val="1"/>
          <c:tx>
            <c:strRef>
              <c:f>'pivot Table'!$F$19:$F$20</c:f>
              <c:strCache>
                <c:ptCount val="1"/>
                <c:pt idx="0">
                  <c:v>Office Supplies</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'pivot Table'!$D$21:$D$31</c:f>
              <c:strCache>
                <c:ptCount val="10"/>
                <c:pt idx="0">
                  <c:v>Arizona</c:v>
                </c:pt>
                <c:pt idx="1">
                  <c:v>California</c:v>
                </c:pt>
                <c:pt idx="2">
                  <c:v>Florida</c:v>
                </c:pt>
                <c:pt idx="3">
                  <c:v>Illinois</c:v>
                </c:pt>
                <c:pt idx="4">
                  <c:v>Minnesota</c:v>
                </c:pt>
                <c:pt idx="5">
                  <c:v>New York</c:v>
                </c:pt>
                <c:pt idx="6">
                  <c:v>Ohio</c:v>
                </c:pt>
                <c:pt idx="7">
                  <c:v>Pennsylvania</c:v>
                </c:pt>
                <c:pt idx="8">
                  <c:v>Texas</c:v>
                </c:pt>
                <c:pt idx="9">
                  <c:v>Washington</c:v>
                </c:pt>
              </c:strCache>
            </c:strRef>
          </c:cat>
          <c:val>
            <c:numRef>
              <c:f>'pivot Table'!$F$21:$F$31</c:f>
              <c:numCache>
                <c:formatCode>General</c:formatCode>
                <c:ptCount val="10"/>
                <c:pt idx="0">
                  <c:v>1826.857</c:v>
                </c:pt>
                <c:pt idx="1">
                  <c:v>4450.7380000000012</c:v>
                </c:pt>
                <c:pt idx="2">
                  <c:v>1563.31</c:v>
                </c:pt>
                <c:pt idx="3">
                  <c:v>1002.63</c:v>
                </c:pt>
                <c:pt idx="4">
                  <c:v>1915.1100000000001</c:v>
                </c:pt>
                <c:pt idx="5">
                  <c:v>7469.1119999999983</c:v>
                </c:pt>
                <c:pt idx="6">
                  <c:v>1249.4160000000002</c:v>
                </c:pt>
                <c:pt idx="7">
                  <c:v>1130.9840000000002</c:v>
                </c:pt>
                <c:pt idx="8">
                  <c:v>1610.2140000000002</c:v>
                </c:pt>
                <c:pt idx="9">
                  <c:v>737.37800000000004</c:v>
                </c:pt>
              </c:numCache>
            </c:numRef>
          </c:val>
          <c:extLst>
            <c:ext xmlns:c16="http://schemas.microsoft.com/office/drawing/2014/chart" uri="{C3380CC4-5D6E-409C-BE32-E72D297353CC}">
              <c16:uniqueId val="{00000001-3A66-4376-A6F5-51C88B5291DE}"/>
            </c:ext>
          </c:extLst>
        </c:ser>
        <c:ser>
          <c:idx val="2"/>
          <c:order val="2"/>
          <c:tx>
            <c:strRef>
              <c:f>'pivot Table'!$G$19:$G$20</c:f>
              <c:strCache>
                <c:ptCount val="1"/>
                <c:pt idx="0">
                  <c:v>Technology</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'pivot Table'!$D$21:$D$31</c:f>
              <c:strCache>
                <c:ptCount val="10"/>
                <c:pt idx="0">
                  <c:v>Arizona</c:v>
                </c:pt>
                <c:pt idx="1">
                  <c:v>California</c:v>
                </c:pt>
                <c:pt idx="2">
                  <c:v>Florida</c:v>
                </c:pt>
                <c:pt idx="3">
                  <c:v>Illinois</c:v>
                </c:pt>
                <c:pt idx="4">
                  <c:v>Minnesota</c:v>
                </c:pt>
                <c:pt idx="5">
                  <c:v>New York</c:v>
                </c:pt>
                <c:pt idx="6">
                  <c:v>Ohio</c:v>
                </c:pt>
                <c:pt idx="7">
                  <c:v>Pennsylvania</c:v>
                </c:pt>
                <c:pt idx="8">
                  <c:v>Texas</c:v>
                </c:pt>
                <c:pt idx="9">
                  <c:v>Washington</c:v>
                </c:pt>
              </c:strCache>
            </c:strRef>
          </c:cat>
          <c:val>
            <c:numRef>
              <c:f>'pivot Table'!$G$21:$G$31</c:f>
              <c:numCache>
                <c:formatCode>General</c:formatCode>
                <c:ptCount val="10"/>
                <c:pt idx="0">
                  <c:v>1874.1280000000002</c:v>
                </c:pt>
                <c:pt idx="1">
                  <c:v>10347.987999999999</c:v>
                </c:pt>
                <c:pt idx="2">
                  <c:v>1128.1360000000002</c:v>
                </c:pt>
                <c:pt idx="3">
                  <c:v>5743.8909999999996</c:v>
                </c:pt>
                <c:pt idx="4">
                  <c:v>65.97</c:v>
                </c:pt>
                <c:pt idx="5">
                  <c:v>6091.8599999999979</c:v>
                </c:pt>
                <c:pt idx="6">
                  <c:v>2136.5080000000003</c:v>
                </c:pt>
                <c:pt idx="7">
                  <c:v>982.35000000000014</c:v>
                </c:pt>
                <c:pt idx="8">
                  <c:v>16617.34</c:v>
                </c:pt>
                <c:pt idx="9">
                  <c:v>3040.2440000000001</c:v>
                </c:pt>
              </c:numCache>
            </c:numRef>
          </c:val>
          <c:extLst>
            <c:ext xmlns:c16="http://schemas.microsoft.com/office/drawing/2014/chart" uri="{C3380CC4-5D6E-409C-BE32-E72D297353CC}">
              <c16:uniqueId val="{00000002-3A66-4376-A6F5-51C88B5291DE}"/>
            </c:ext>
          </c:extLst>
        </c:ser>
        <c:dLbls>
          <c:showLegendKey val="0"/>
          <c:showVal val="0"/>
          <c:showCatName val="0"/>
          <c:showSerName val="0"/>
          <c:showPercent val="0"/>
          <c:showBubbleSize val="0"/>
        </c:dLbls>
        <c:gapWidth val="115"/>
        <c:overlap val="-20"/>
        <c:axId val="587870400"/>
        <c:axId val="472732368"/>
      </c:barChart>
      <c:catAx>
        <c:axId val="5878704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32368"/>
        <c:crosses val="autoZero"/>
        <c:auto val="1"/>
        <c:lblAlgn val="ctr"/>
        <c:lblOffset val="100"/>
        <c:noMultiLvlLbl val="0"/>
      </c:catAx>
      <c:valAx>
        <c:axId val="4727323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787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Table!pvt_city</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Table'!$B$34</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'pivot Table'!$A$35:$A$45</c:f>
              <c:strCache>
                <c:ptCount val="10"/>
                <c:pt idx="0">
                  <c:v>San Diego</c:v>
                </c:pt>
                <c:pt idx="1">
                  <c:v>Lakeville</c:v>
                </c:pt>
                <c:pt idx="2">
                  <c:v>Franklin</c:v>
                </c:pt>
                <c:pt idx="3">
                  <c:v>Philadelphia</c:v>
                </c:pt>
                <c:pt idx="4">
                  <c:v>Chicago</c:v>
                </c:pt>
                <c:pt idx="5">
                  <c:v>San Francisco</c:v>
                </c:pt>
                <c:pt idx="6">
                  <c:v>Los Angeles</c:v>
                </c:pt>
                <c:pt idx="7">
                  <c:v>San Antonio</c:v>
                </c:pt>
                <c:pt idx="8">
                  <c:v>Houston</c:v>
                </c:pt>
                <c:pt idx="9">
                  <c:v>New York City</c:v>
                </c:pt>
              </c:strCache>
            </c:strRef>
          </c:cat>
          <c:val>
            <c:numRef>
              <c:f>'pivot Table'!$B$35:$B$45</c:f>
              <c:numCache>
                <c:formatCode>General</c:formatCode>
                <c:ptCount val="10"/>
                <c:pt idx="0">
                  <c:v>3364.07</c:v>
                </c:pt>
                <c:pt idx="1">
                  <c:v>3745.63</c:v>
                </c:pt>
                <c:pt idx="2">
                  <c:v>4181.402</c:v>
                </c:pt>
                <c:pt idx="3">
                  <c:v>6264.8400000000011</c:v>
                </c:pt>
                <c:pt idx="4">
                  <c:v>6762.2660000000005</c:v>
                </c:pt>
                <c:pt idx="5">
                  <c:v>8308.8570000000018</c:v>
                </c:pt>
                <c:pt idx="6">
                  <c:v>8991.523000000001</c:v>
                </c:pt>
                <c:pt idx="7">
                  <c:v>10546.567999999999</c:v>
                </c:pt>
                <c:pt idx="8">
                  <c:v>11566.000799999998</c:v>
                </c:pt>
                <c:pt idx="9">
                  <c:v>15037.798000000003</c:v>
                </c:pt>
              </c:numCache>
            </c:numRef>
          </c:val>
          <c:extLst>
            <c:ext xmlns:c16="http://schemas.microsoft.com/office/drawing/2014/chart" uri="{C3380CC4-5D6E-409C-BE32-E72D297353CC}">
              <c16:uniqueId val="{00000000-BED2-4811-AEC2-68E9A1B71B48}"/>
            </c:ext>
          </c:extLst>
        </c:ser>
        <c:dLbls>
          <c:showLegendKey val="0"/>
          <c:showVal val="0"/>
          <c:showCatName val="0"/>
          <c:showSerName val="0"/>
          <c:showPercent val="0"/>
          <c:showBubbleSize val="0"/>
        </c:dLbls>
        <c:gapWidth val="115"/>
        <c:overlap val="-20"/>
        <c:axId val="434018752"/>
        <c:axId val="472744368"/>
      </c:barChart>
      <c:catAx>
        <c:axId val="434018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44368"/>
        <c:crosses val="autoZero"/>
        <c:auto val="1"/>
        <c:lblAlgn val="ctr"/>
        <c:lblOffset val="100"/>
        <c:noMultiLvlLbl val="0"/>
      </c:catAx>
      <c:valAx>
        <c:axId val="4727443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1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Table!pvt_St</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10 Sates in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Table'!$O$39</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cat>
            <c:strRef>
              <c:f>'pivot Table'!$N$40:$N$50</c:f>
              <c:strCache>
                <c:ptCount val="10"/>
                <c:pt idx="0">
                  <c:v>Minnesota</c:v>
                </c:pt>
                <c:pt idx="1">
                  <c:v>Ohio</c:v>
                </c:pt>
                <c:pt idx="2">
                  <c:v>Arizona</c:v>
                </c:pt>
                <c:pt idx="3">
                  <c:v>Florida</c:v>
                </c:pt>
                <c:pt idx="4">
                  <c:v>Washington</c:v>
                </c:pt>
                <c:pt idx="5">
                  <c:v>Pennsylvania</c:v>
                </c:pt>
                <c:pt idx="6">
                  <c:v>Illinois</c:v>
                </c:pt>
                <c:pt idx="7">
                  <c:v>New York</c:v>
                </c:pt>
                <c:pt idx="8">
                  <c:v>California</c:v>
                </c:pt>
                <c:pt idx="9">
                  <c:v>Texas</c:v>
                </c:pt>
              </c:strCache>
            </c:strRef>
          </c:cat>
          <c:val>
            <c:numRef>
              <c:f>'pivot Table'!$O$40:$O$50</c:f>
              <c:numCache>
                <c:formatCode>General</c:formatCode>
                <c:ptCount val="10"/>
                <c:pt idx="0">
                  <c:v>4036.28</c:v>
                </c:pt>
                <c:pt idx="1">
                  <c:v>4773.1020000000008</c:v>
                </c:pt>
                <c:pt idx="2">
                  <c:v>4997.1749999999993</c:v>
                </c:pt>
                <c:pt idx="3">
                  <c:v>5137.0275000000011</c:v>
                </c:pt>
                <c:pt idx="4">
                  <c:v>5329.8559999999998</c:v>
                </c:pt>
                <c:pt idx="5">
                  <c:v>6264.8400000000011</c:v>
                </c:pt>
                <c:pt idx="6">
                  <c:v>9423.482</c:v>
                </c:pt>
                <c:pt idx="7">
                  <c:v>16879.558000000005</c:v>
                </c:pt>
                <c:pt idx="8">
                  <c:v>23602.765999999996</c:v>
                </c:pt>
                <c:pt idx="9">
                  <c:v>24134.155599999987</c:v>
                </c:pt>
              </c:numCache>
            </c:numRef>
          </c:val>
          <c:extLst>
            <c:ext xmlns:c16="http://schemas.microsoft.com/office/drawing/2014/chart" uri="{C3380CC4-5D6E-409C-BE32-E72D297353CC}">
              <c16:uniqueId val="{00000000-56B9-4024-8267-385D32EEFAE5}"/>
            </c:ext>
          </c:extLst>
        </c:ser>
        <c:dLbls>
          <c:showLegendKey val="0"/>
          <c:showVal val="0"/>
          <c:showCatName val="0"/>
          <c:showSerName val="0"/>
          <c:showPercent val="0"/>
          <c:showBubbleSize val="0"/>
        </c:dLbls>
        <c:gapWidth val="115"/>
        <c:overlap val="-20"/>
        <c:axId val="434027104"/>
        <c:axId val="472731408"/>
      </c:barChart>
      <c:catAx>
        <c:axId val="4340271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2731408"/>
        <c:crosses val="autoZero"/>
        <c:auto val="1"/>
        <c:lblAlgn val="ctr"/>
        <c:lblOffset val="100"/>
        <c:noMultiLvlLbl val="0"/>
      </c:catAx>
      <c:valAx>
        <c:axId val="472731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27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Table!PivotTable3</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Total Profit Trend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Table'!$V$28</c:f>
              <c:strCache>
                <c:ptCount val="1"/>
                <c:pt idx="0">
                  <c:v>Total</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trendline>
            <c:spPr>
              <a:ln w="6350" cap="flat" cmpd="sng" algn="ctr">
                <a:solidFill>
                  <a:schemeClr val="accent1"/>
                </a:solidFill>
                <a:prstDash val="solid"/>
                <a:miter lim="800000"/>
              </a:ln>
              <a:effectLst/>
            </c:spPr>
            <c:trendlineType val="linear"/>
            <c:dispRSqr val="1"/>
            <c:dispEq val="0"/>
            <c:trendlineLbl>
              <c:layout>
                <c:manualLayout>
                  <c:x val="0.13241207349081366"/>
                  <c:y val="4.515128317293671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'pivot Table'!$U$29:$U$34</c:f>
              <c:strCache>
                <c:ptCount val="5"/>
                <c:pt idx="0">
                  <c:v>2014</c:v>
                </c:pt>
                <c:pt idx="1">
                  <c:v>2015</c:v>
                </c:pt>
                <c:pt idx="2">
                  <c:v>2016</c:v>
                </c:pt>
                <c:pt idx="3">
                  <c:v>2017</c:v>
                </c:pt>
                <c:pt idx="4">
                  <c:v>2018</c:v>
                </c:pt>
              </c:strCache>
            </c:strRef>
          </c:cat>
          <c:val>
            <c:numRef>
              <c:f>'pivot Table'!$V$29:$V$34</c:f>
              <c:numCache>
                <c:formatCode>General</c:formatCode>
                <c:ptCount val="5"/>
                <c:pt idx="0">
                  <c:v>2423.1919999999955</c:v>
                </c:pt>
                <c:pt idx="1">
                  <c:v>-2029.7897000000007</c:v>
                </c:pt>
                <c:pt idx="2">
                  <c:v>3919.3064999999951</c:v>
                </c:pt>
                <c:pt idx="3">
                  <c:v>817.43960000000004</c:v>
                </c:pt>
                <c:pt idx="4">
                  <c:v>210.4935999999999</c:v>
                </c:pt>
              </c:numCache>
            </c:numRef>
          </c:val>
          <c:smooth val="0"/>
          <c:extLst>
            <c:ext xmlns:c16="http://schemas.microsoft.com/office/drawing/2014/chart" uri="{C3380CC4-5D6E-409C-BE32-E72D297353CC}">
              <c16:uniqueId val="{00000001-9AB7-4C4B-92F5-FBFA6A1A61DA}"/>
            </c:ext>
          </c:extLst>
        </c:ser>
        <c:dLbls>
          <c:showLegendKey val="0"/>
          <c:showVal val="0"/>
          <c:showCatName val="0"/>
          <c:showSerName val="0"/>
          <c:showPercent val="0"/>
          <c:showBubbleSize val="0"/>
        </c:dLbls>
        <c:marker val="1"/>
        <c:smooth val="0"/>
        <c:axId val="1653100303"/>
        <c:axId val="1494526735"/>
      </c:lineChart>
      <c:catAx>
        <c:axId val="1653100303"/>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526735"/>
        <c:crosses val="autoZero"/>
        <c:auto val="1"/>
        <c:lblAlgn val="ctr"/>
        <c:lblOffset val="100"/>
        <c:noMultiLvlLbl val="0"/>
      </c:catAx>
      <c:valAx>
        <c:axId val="14945267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10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[Assal Data.xlsx]pivot Table!PivotTable4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Years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rgbClr val="00B0F0"/>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Table'!$L$31</c:f>
              <c:strCache>
                <c:ptCount val="1"/>
                <c:pt idx="0">
                  <c:v>Total</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solidFill>
                <a:srgbClr val="00B0F0"/>
              </a:solidFill>
              <a:ln w="9525">
                <a:solidFill>
                  <a:srgbClr val="00B0F0"/>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6350" cap="flat" cmpd="sng" algn="ctr">
                <a:solidFill>
                  <a:schemeClr val="accent1"/>
                </a:solidFill>
                <a:prstDash val="solid"/>
                <a:miter lim="800000"/>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rendlineLbl>
          </c:trendline>
          <c:cat>
            <c:strRef>
              <c:f>'pivot Table'!$K$32:$K$37</c:f>
              <c:strCache>
                <c:ptCount val="5"/>
                <c:pt idx="0">
                  <c:v>2014</c:v>
                </c:pt>
                <c:pt idx="1">
                  <c:v>2015</c:v>
                </c:pt>
                <c:pt idx="2">
                  <c:v>2016</c:v>
                </c:pt>
                <c:pt idx="3">
                  <c:v>2017</c:v>
                </c:pt>
                <c:pt idx="4">
                  <c:v>2018</c:v>
                </c:pt>
              </c:strCache>
            </c:strRef>
          </c:cat>
          <c:val>
            <c:numRef>
              <c:f>'pivot Table'!$L$32:$L$37</c:f>
              <c:numCache>
                <c:formatCode>_(* #,##0_);_(* \(#,##0\);_(* "-"??_);_(@_)</c:formatCode>
                <c:ptCount val="5"/>
                <c:pt idx="0">
                  <c:v>47399.161999999989</c:v>
                </c:pt>
                <c:pt idx="1">
                  <c:v>24401.011199999986</c:v>
                </c:pt>
                <c:pt idx="2">
                  <c:v>39396.04659999998</c:v>
                </c:pt>
                <c:pt idx="3">
                  <c:v>17434.956299999998</c:v>
                </c:pt>
                <c:pt idx="4">
                  <c:v>725.84</c:v>
                </c:pt>
              </c:numCache>
            </c:numRef>
          </c:val>
          <c:smooth val="0"/>
          <c:extLst>
            <c:ext xmlns:c16="http://schemas.microsoft.com/office/drawing/2014/chart" uri="{C3380CC4-5D6E-409C-BE32-E72D297353CC}">
              <c16:uniqueId val="{00000002-0A84-49A3-BF5A-9D175566E877}"/>
            </c:ext>
          </c:extLst>
        </c:ser>
        <c:dLbls>
          <c:showLegendKey val="0"/>
          <c:showVal val="0"/>
          <c:showCatName val="0"/>
          <c:showSerName val="0"/>
          <c:showPercent val="0"/>
          <c:showBubbleSize val="0"/>
        </c:dLbls>
        <c:marker val="1"/>
        <c:smooth val="0"/>
        <c:axId val="1653154591"/>
        <c:axId val="1494473455"/>
      </c:lineChart>
      <c:catAx>
        <c:axId val="16531545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4473455"/>
        <c:crosses val="autoZero"/>
        <c:auto val="1"/>
        <c:lblAlgn val="ctr"/>
        <c:lblOffset val="100"/>
        <c:noMultiLvlLbl val="0"/>
      </c:catAx>
      <c:valAx>
        <c:axId val="1494473455"/>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315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55907</xdr:colOff>
      <xdr:row>9</xdr:row>
      <xdr:rowOff>15354</xdr:rowOff>
    </xdr:from>
    <xdr:to>
      <xdr:col>9</xdr:col>
      <xdr:colOff>482224</xdr:colOff>
      <xdr:row>23</xdr:row>
      <xdr:rowOff>70554</xdr:rowOff>
    </xdr:to>
    <xdr:graphicFrame macro="">
      <xdr:nvGraphicFramePr>
        <xdr:cNvPr id="2" name="Chart 1">
          <a:extLst>
            <a:ext uri="{FF2B5EF4-FFF2-40B4-BE49-F238E27FC236}">
              <a16:creationId xmlns:a16="http://schemas.microsoft.com/office/drawing/2014/main" id="{1D828BBE-F229-43D4-B935-4D0935007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55907</xdr:colOff>
      <xdr:row>23</xdr:row>
      <xdr:rowOff>109735</xdr:rowOff>
    </xdr:from>
    <xdr:to>
      <xdr:col>9</xdr:col>
      <xdr:colOff>481046</xdr:colOff>
      <xdr:row>37</xdr:row>
      <xdr:rowOff>165840</xdr:rowOff>
    </xdr:to>
    <xdr:graphicFrame macro="">
      <xdr:nvGraphicFramePr>
        <xdr:cNvPr id="3" name="Chart 2">
          <a:extLst>
            <a:ext uri="{FF2B5EF4-FFF2-40B4-BE49-F238E27FC236}">
              <a16:creationId xmlns:a16="http://schemas.microsoft.com/office/drawing/2014/main" id="{F95513FE-4094-49F5-8991-E219D4EC0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9</xdr:row>
      <xdr:rowOff>14723</xdr:rowOff>
    </xdr:from>
    <xdr:to>
      <xdr:col>21</xdr:col>
      <xdr:colOff>411893</xdr:colOff>
      <xdr:row>37</xdr:row>
      <xdr:rowOff>118163</xdr:rowOff>
    </xdr:to>
    <xdr:graphicFrame macro="">
      <xdr:nvGraphicFramePr>
        <xdr:cNvPr id="4" name="Chart 3">
          <a:extLst>
            <a:ext uri="{FF2B5EF4-FFF2-40B4-BE49-F238E27FC236}">
              <a16:creationId xmlns:a16="http://schemas.microsoft.com/office/drawing/2014/main" id="{38D9D432-AADB-4508-BB3F-06164893B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55907</xdr:colOff>
      <xdr:row>38</xdr:row>
      <xdr:rowOff>152128</xdr:rowOff>
    </xdr:from>
    <xdr:to>
      <xdr:col>21</xdr:col>
      <xdr:colOff>457200</xdr:colOff>
      <xdr:row>93</xdr:row>
      <xdr:rowOff>67732</xdr:rowOff>
    </xdr:to>
    <xdr:graphicFrame macro="">
      <xdr:nvGraphicFramePr>
        <xdr:cNvPr id="5" name="Chart 4">
          <a:extLst>
            <a:ext uri="{FF2B5EF4-FFF2-40B4-BE49-F238E27FC236}">
              <a16:creationId xmlns:a16="http://schemas.microsoft.com/office/drawing/2014/main" id="{0CE62E8B-718F-4EC8-AF3E-3747B9DDC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78048</xdr:colOff>
      <xdr:row>9</xdr:row>
      <xdr:rowOff>86575</xdr:rowOff>
    </xdr:from>
    <xdr:to>
      <xdr:col>50</xdr:col>
      <xdr:colOff>513500</xdr:colOff>
      <xdr:row>81</xdr:row>
      <xdr:rowOff>146382</xdr:rowOff>
    </xdr:to>
    <xdr:graphicFrame macro="">
      <xdr:nvGraphicFramePr>
        <xdr:cNvPr id="6" name="Chart 5">
          <a:extLst>
            <a:ext uri="{FF2B5EF4-FFF2-40B4-BE49-F238E27FC236}">
              <a16:creationId xmlns:a16="http://schemas.microsoft.com/office/drawing/2014/main" id="{6C2AF0B1-3E1A-4CA7-B9B1-8EB6D1335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23091</xdr:colOff>
      <xdr:row>9</xdr:row>
      <xdr:rowOff>12143</xdr:rowOff>
    </xdr:from>
    <xdr:to>
      <xdr:col>36</xdr:col>
      <xdr:colOff>461818</xdr:colOff>
      <xdr:row>81</xdr:row>
      <xdr:rowOff>73886</xdr:rowOff>
    </xdr:to>
    <xdr:graphicFrame macro="">
      <xdr:nvGraphicFramePr>
        <xdr:cNvPr id="7" name="Chart 6">
          <a:extLst>
            <a:ext uri="{FF2B5EF4-FFF2-40B4-BE49-F238E27FC236}">
              <a16:creationId xmlns:a16="http://schemas.microsoft.com/office/drawing/2014/main" id="{D89E5210-7242-49B2-982B-9266A07EE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46643</xdr:colOff>
      <xdr:row>5</xdr:row>
      <xdr:rowOff>135476</xdr:rowOff>
    </xdr:from>
    <xdr:to>
      <xdr:col>1</xdr:col>
      <xdr:colOff>1869587</xdr:colOff>
      <xdr:row>14</xdr:row>
      <xdr:rowOff>76209</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BA868551-3D07-4ECC-A451-04FCB24E7A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3843" y="1049876"/>
              <a:ext cx="1822944" cy="1586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2036112</xdr:colOff>
      <xdr:row>5</xdr:row>
      <xdr:rowOff>135475</xdr:rowOff>
    </xdr:from>
    <xdr:to>
      <xdr:col>1</xdr:col>
      <xdr:colOff>3881513</xdr:colOff>
      <xdr:row>19</xdr:row>
      <xdr:rowOff>14112</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B03F929B-22AF-4C57-918E-710516F3A3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493312" y="1049875"/>
              <a:ext cx="1845401" cy="2438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2031782</xdr:colOff>
      <xdr:row>19</xdr:row>
      <xdr:rowOff>76208</xdr:rowOff>
    </xdr:from>
    <xdr:to>
      <xdr:col>1</xdr:col>
      <xdr:colOff>3881513</xdr:colOff>
      <xdr:row>32</xdr:row>
      <xdr:rowOff>140805</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B3D8C63C-DB42-4597-8675-B0D106C7593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488982" y="3550928"/>
              <a:ext cx="1849731" cy="2442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46643</xdr:colOff>
      <xdr:row>14</xdr:row>
      <xdr:rowOff>158567</xdr:rowOff>
    </xdr:from>
    <xdr:to>
      <xdr:col>1</xdr:col>
      <xdr:colOff>1882370</xdr:colOff>
      <xdr:row>21</xdr:row>
      <xdr:rowOff>6935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F0254712-EF71-4ADA-AEAC-F27916DCAE5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3843" y="2718887"/>
              <a:ext cx="1835727" cy="1128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46643</xdr:colOff>
      <xdr:row>29</xdr:row>
      <xdr:rowOff>25650</xdr:rowOff>
    </xdr:from>
    <xdr:to>
      <xdr:col>1</xdr:col>
      <xdr:colOff>1876640</xdr:colOff>
      <xdr:row>37</xdr:row>
      <xdr:rowOff>76209</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EA5661FB-A6A6-4C79-BAC5-2C58BF22248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3843" y="5329170"/>
              <a:ext cx="1829997" cy="1513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46643</xdr:colOff>
      <xdr:row>21</xdr:row>
      <xdr:rowOff>41573</xdr:rowOff>
    </xdr:from>
    <xdr:to>
      <xdr:col>1</xdr:col>
      <xdr:colOff>1875443</xdr:colOff>
      <xdr:row>28</xdr:row>
      <xdr:rowOff>147021</xdr:rowOff>
    </xdr:to>
    <mc:AlternateContent xmlns:mc="http://schemas.openxmlformats.org/markup-compatibility/2006">
      <mc:Choice xmlns:a14="http://schemas.microsoft.com/office/drawing/2010/main" Requires="a14">
        <xdr:graphicFrame macro="">
          <xdr:nvGraphicFramePr>
            <xdr:cNvPr id="14" name="Ship Mode">
              <a:extLst>
                <a:ext uri="{FF2B5EF4-FFF2-40B4-BE49-F238E27FC236}">
                  <a16:creationId xmlns:a16="http://schemas.microsoft.com/office/drawing/2014/main" id="{83B32996-C334-4A47-BC4F-EBC58D3D276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503843" y="3882053"/>
              <a:ext cx="1828800" cy="1385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2031782</xdr:colOff>
      <xdr:row>32</xdr:row>
      <xdr:rowOff>181657</xdr:rowOff>
    </xdr:from>
    <xdr:to>
      <xdr:col>1</xdr:col>
      <xdr:colOff>3860582</xdr:colOff>
      <xdr:row>46</xdr:row>
      <xdr:rowOff>60910</xdr:rowOff>
    </xdr:to>
    <mc:AlternateContent xmlns:mc="http://schemas.openxmlformats.org/markup-compatibility/2006">
      <mc:Choice xmlns:a14="http://schemas.microsoft.com/office/drawing/2010/main" Requires="a14">
        <xdr:graphicFrame macro="">
          <xdr:nvGraphicFramePr>
            <xdr:cNvPr id="15" name="Product Name">
              <a:extLst>
                <a:ext uri="{FF2B5EF4-FFF2-40B4-BE49-F238E27FC236}">
                  <a16:creationId xmlns:a16="http://schemas.microsoft.com/office/drawing/2014/main" id="{5AA755F1-026B-431C-9AF5-1BF0B621D68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2488982" y="6033817"/>
              <a:ext cx="1828800" cy="24395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432705</xdr:colOff>
      <xdr:row>3</xdr:row>
      <xdr:rowOff>67920</xdr:rowOff>
    </xdr:from>
    <xdr:to>
      <xdr:col>33</xdr:col>
      <xdr:colOff>580488</xdr:colOff>
      <xdr:row>7</xdr:row>
      <xdr:rowOff>160284</xdr:rowOff>
    </xdr:to>
    <xdr:grpSp>
      <xdr:nvGrpSpPr>
        <xdr:cNvPr id="9" name="Group 8">
          <a:extLst>
            <a:ext uri="{FF2B5EF4-FFF2-40B4-BE49-F238E27FC236}">
              <a16:creationId xmlns:a16="http://schemas.microsoft.com/office/drawing/2014/main" id="{1860F945-DABB-43E8-2884-31133A87CA8A}"/>
            </a:ext>
          </a:extLst>
        </xdr:cNvPr>
        <xdr:cNvGrpSpPr/>
      </xdr:nvGrpSpPr>
      <xdr:grpSpPr>
        <a:xfrm>
          <a:off x="12746625" y="616560"/>
          <a:ext cx="11120583" cy="823884"/>
          <a:chOff x="5833756" y="511533"/>
          <a:chExt cx="11209073" cy="766420"/>
        </a:xfrm>
        <a:solidFill>
          <a:srgbClr val="00B0F0"/>
        </a:solidFill>
      </xdr:grpSpPr>
      <xdr:grpSp>
        <xdr:nvGrpSpPr>
          <xdr:cNvPr id="26" name="Group 25">
            <a:extLst>
              <a:ext uri="{FF2B5EF4-FFF2-40B4-BE49-F238E27FC236}">
                <a16:creationId xmlns:a16="http://schemas.microsoft.com/office/drawing/2014/main" id="{4D7C1EE5-4468-9F17-ADFF-F610B53AA9F7}"/>
              </a:ext>
            </a:extLst>
          </xdr:cNvPr>
          <xdr:cNvGrpSpPr/>
        </xdr:nvGrpSpPr>
        <xdr:grpSpPr>
          <a:xfrm>
            <a:off x="5833756" y="511533"/>
            <a:ext cx="2688974" cy="766420"/>
            <a:chOff x="4548909" y="415636"/>
            <a:chExt cx="2678545" cy="831273"/>
          </a:xfrm>
          <a:grpFill/>
        </xdr:grpSpPr>
        <xdr:sp macro="" textlink="'pivot Table'!K29">
          <xdr:nvSpPr>
            <xdr:cNvPr id="16" name="Rectangle: Rounded Corners 15">
              <a:extLst>
                <a:ext uri="{FF2B5EF4-FFF2-40B4-BE49-F238E27FC236}">
                  <a16:creationId xmlns:a16="http://schemas.microsoft.com/office/drawing/2014/main" id="{E13C0BF9-9EE9-1D0D-5214-4970FC370022}"/>
                </a:ext>
              </a:extLst>
            </xdr:cNvPr>
            <xdr:cNvSpPr/>
          </xdr:nvSpPr>
          <xdr:spPr>
            <a:xfrm>
              <a:off x="4548909" y="415636"/>
              <a:ext cx="2678545" cy="83127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6ED70FA-73E7-4069-A7DB-4016F26F5173}" type="TxLink">
                <a:rPr lang="en-US" sz="1600" b="0" i="0" u="none" strike="noStrike">
                  <a:solidFill>
                    <a:srgbClr val="000000"/>
                  </a:solidFill>
                  <a:latin typeface="Calibri"/>
                  <a:ea typeface="Calibri"/>
                  <a:cs typeface="Calibri"/>
                </a:rPr>
                <a:pPr algn="ctr"/>
                <a:t> 129,357 </a:t>
              </a:fld>
              <a:endParaRPr lang="en-US" sz="1600"/>
            </a:p>
          </xdr:txBody>
        </xdr:sp>
        <xdr:sp macro="" textlink="">
          <xdr:nvSpPr>
            <xdr:cNvPr id="21" name="TextBox 20">
              <a:extLst>
                <a:ext uri="{FF2B5EF4-FFF2-40B4-BE49-F238E27FC236}">
                  <a16:creationId xmlns:a16="http://schemas.microsoft.com/office/drawing/2014/main" id="{77329DA8-6326-240C-A2BF-6D3C15F4D024}"/>
                </a:ext>
              </a:extLst>
            </xdr:cNvPr>
            <xdr:cNvSpPr txBox="1"/>
          </xdr:nvSpPr>
          <xdr:spPr>
            <a:xfrm>
              <a:off x="5183909" y="588818"/>
              <a:ext cx="1547091" cy="28863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 Sales $</a:t>
              </a:r>
            </a:p>
          </xdr:txBody>
        </xdr:sp>
      </xdr:grpSp>
      <xdr:grpSp>
        <xdr:nvGrpSpPr>
          <xdr:cNvPr id="27" name="Group 26">
            <a:extLst>
              <a:ext uri="{FF2B5EF4-FFF2-40B4-BE49-F238E27FC236}">
                <a16:creationId xmlns:a16="http://schemas.microsoft.com/office/drawing/2014/main" id="{409A4199-9130-1C41-2146-28529B591890}"/>
              </a:ext>
            </a:extLst>
          </xdr:cNvPr>
          <xdr:cNvGrpSpPr/>
        </xdr:nvGrpSpPr>
        <xdr:grpSpPr>
          <a:xfrm>
            <a:off x="14356165" y="511533"/>
            <a:ext cx="2686664" cy="766420"/>
            <a:chOff x="4548909" y="415636"/>
            <a:chExt cx="2678545" cy="831273"/>
          </a:xfrm>
          <a:grpFill/>
        </xdr:grpSpPr>
        <xdr:sp macro="" textlink="'pivot Table'!O29">
          <xdr:nvSpPr>
            <xdr:cNvPr id="28" name="Rectangle: Rounded Corners 27">
              <a:extLst>
                <a:ext uri="{FF2B5EF4-FFF2-40B4-BE49-F238E27FC236}">
                  <a16:creationId xmlns:a16="http://schemas.microsoft.com/office/drawing/2014/main" id="{094EB496-BF91-A9FE-95CD-B79618AF824B}"/>
                </a:ext>
              </a:extLst>
            </xdr:cNvPr>
            <xdr:cNvSpPr/>
          </xdr:nvSpPr>
          <xdr:spPr>
            <a:xfrm>
              <a:off x="4548909" y="415636"/>
              <a:ext cx="2678545" cy="83127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2337447-8F36-45ED-8564-C37676251835}" type="TxLink">
                <a:rPr lang="en-US" sz="1600" b="0" i="0" u="none" strike="noStrike">
                  <a:solidFill>
                    <a:srgbClr val="000000"/>
                  </a:solidFill>
                  <a:latin typeface="Calibri"/>
                  <a:ea typeface="Calibri"/>
                  <a:cs typeface="Calibri"/>
                </a:rPr>
                <a:pPr algn="ctr"/>
                <a:t>5340.642</a:t>
              </a:fld>
              <a:endParaRPr lang="en-US" sz="1600"/>
            </a:p>
          </xdr:txBody>
        </xdr:sp>
        <xdr:sp macro="" textlink="">
          <xdr:nvSpPr>
            <xdr:cNvPr id="29" name="TextBox 28">
              <a:extLst>
                <a:ext uri="{FF2B5EF4-FFF2-40B4-BE49-F238E27FC236}">
                  <a16:creationId xmlns:a16="http://schemas.microsoft.com/office/drawing/2014/main" id="{2D0AD6C4-EBFF-99D3-F4EF-AF5519FD5807}"/>
                </a:ext>
              </a:extLst>
            </xdr:cNvPr>
            <xdr:cNvSpPr txBox="1"/>
          </xdr:nvSpPr>
          <xdr:spPr>
            <a:xfrm>
              <a:off x="5183909" y="588818"/>
              <a:ext cx="1547091" cy="28863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 </a:t>
              </a:r>
              <a:r>
                <a:rPr lang="en-US" sz="1800" baseline="0"/>
                <a:t>Profit $</a:t>
              </a:r>
            </a:p>
          </xdr:txBody>
        </xdr:sp>
      </xdr:grpSp>
      <xdr:grpSp>
        <xdr:nvGrpSpPr>
          <xdr:cNvPr id="30" name="Group 29">
            <a:extLst>
              <a:ext uri="{FF2B5EF4-FFF2-40B4-BE49-F238E27FC236}">
                <a16:creationId xmlns:a16="http://schemas.microsoft.com/office/drawing/2014/main" id="{4D5A87E2-BCED-38B8-7D32-652586A0EB38}"/>
              </a:ext>
            </a:extLst>
          </xdr:cNvPr>
          <xdr:cNvGrpSpPr/>
        </xdr:nvGrpSpPr>
        <xdr:grpSpPr>
          <a:xfrm>
            <a:off x="11521421" y="511533"/>
            <a:ext cx="2693890" cy="766420"/>
            <a:chOff x="4548909" y="415636"/>
            <a:chExt cx="2678545" cy="831273"/>
          </a:xfrm>
          <a:grpFill/>
        </xdr:grpSpPr>
        <xdr:sp macro="" textlink="'pivot Table'!Q29">
          <xdr:nvSpPr>
            <xdr:cNvPr id="31" name="Rectangle: Rounded Corners 30">
              <a:extLst>
                <a:ext uri="{FF2B5EF4-FFF2-40B4-BE49-F238E27FC236}">
                  <a16:creationId xmlns:a16="http://schemas.microsoft.com/office/drawing/2014/main" id="{33D0B80C-CBF5-5874-BF8A-478D22091927}"/>
                </a:ext>
              </a:extLst>
            </xdr:cNvPr>
            <xdr:cNvSpPr/>
          </xdr:nvSpPr>
          <xdr:spPr>
            <a:xfrm>
              <a:off x="4548909" y="415636"/>
              <a:ext cx="2678545" cy="83127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F15D5B2-1154-4A16-B2D6-2ED16C19C682}" type="TxLink">
                <a:rPr lang="en-US" sz="1600" b="0" i="0" u="none" strike="noStrike">
                  <a:solidFill>
                    <a:srgbClr val="000000"/>
                  </a:solidFill>
                  <a:latin typeface="Calibri"/>
                  <a:ea typeface="Calibri"/>
                  <a:cs typeface="Calibri"/>
                </a:rPr>
                <a:pPr algn="ctr"/>
                <a:t>85.31</a:t>
              </a:fld>
              <a:endParaRPr lang="en-US" sz="1600"/>
            </a:p>
          </xdr:txBody>
        </xdr:sp>
        <xdr:sp macro="" textlink="">
          <xdr:nvSpPr>
            <xdr:cNvPr id="32" name="TextBox 31">
              <a:extLst>
                <a:ext uri="{FF2B5EF4-FFF2-40B4-BE49-F238E27FC236}">
                  <a16:creationId xmlns:a16="http://schemas.microsoft.com/office/drawing/2014/main" id="{0A198050-E469-C9C4-030D-B504941001D9}"/>
                </a:ext>
              </a:extLst>
            </xdr:cNvPr>
            <xdr:cNvSpPr txBox="1"/>
          </xdr:nvSpPr>
          <xdr:spPr>
            <a:xfrm>
              <a:off x="4971473" y="584202"/>
              <a:ext cx="1759528" cy="29325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Discound $</a:t>
              </a:r>
              <a:endParaRPr lang="en-US" sz="1800"/>
            </a:p>
          </xdr:txBody>
        </xdr:sp>
      </xdr:grpSp>
      <xdr:grpSp>
        <xdr:nvGrpSpPr>
          <xdr:cNvPr id="33" name="Group 32">
            <a:extLst>
              <a:ext uri="{FF2B5EF4-FFF2-40B4-BE49-F238E27FC236}">
                <a16:creationId xmlns:a16="http://schemas.microsoft.com/office/drawing/2014/main" id="{2CF12F31-19DC-BC3E-4A88-1E200520B193}"/>
              </a:ext>
            </a:extLst>
          </xdr:cNvPr>
          <xdr:cNvGrpSpPr/>
        </xdr:nvGrpSpPr>
        <xdr:grpSpPr>
          <a:xfrm>
            <a:off x="8655119" y="511533"/>
            <a:ext cx="2691579" cy="766420"/>
            <a:chOff x="4548909" y="415636"/>
            <a:chExt cx="2678545" cy="831273"/>
          </a:xfrm>
          <a:grpFill/>
        </xdr:grpSpPr>
        <xdr:sp macro="" textlink="'pivot Table'!S29">
          <xdr:nvSpPr>
            <xdr:cNvPr id="34" name="Rectangle: Rounded Corners 33">
              <a:extLst>
                <a:ext uri="{FF2B5EF4-FFF2-40B4-BE49-F238E27FC236}">
                  <a16:creationId xmlns:a16="http://schemas.microsoft.com/office/drawing/2014/main" id="{6C228FDA-E412-2060-4215-6318508F1002}"/>
                </a:ext>
              </a:extLst>
            </xdr:cNvPr>
            <xdr:cNvSpPr/>
          </xdr:nvSpPr>
          <xdr:spPr>
            <a:xfrm>
              <a:off x="4548909" y="415636"/>
              <a:ext cx="2678545" cy="83127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F8F5DDE-42AA-434E-A780-F5988330CB25}" type="TxLink">
                <a:rPr lang="en-US" sz="1600" b="0" i="0" u="none" strike="noStrike">
                  <a:solidFill>
                    <a:srgbClr val="000000"/>
                  </a:solidFill>
                  <a:latin typeface="Calibri"/>
                  <a:ea typeface="Calibri"/>
                  <a:cs typeface="Calibri"/>
                </a:rPr>
                <a:pPr algn="ctr"/>
                <a:t>1964</a:t>
              </a:fld>
              <a:endParaRPr lang="en-US" sz="1600"/>
            </a:p>
          </xdr:txBody>
        </xdr:sp>
        <xdr:sp macro="" textlink="">
          <xdr:nvSpPr>
            <xdr:cNvPr id="35" name="TextBox 34">
              <a:extLst>
                <a:ext uri="{FF2B5EF4-FFF2-40B4-BE49-F238E27FC236}">
                  <a16:creationId xmlns:a16="http://schemas.microsoft.com/office/drawing/2014/main" id="{DDA5A92D-E428-E8BE-6982-EE7C5AC1736C}"/>
                </a:ext>
              </a:extLst>
            </xdr:cNvPr>
            <xdr:cNvSpPr txBox="1"/>
          </xdr:nvSpPr>
          <xdr:spPr>
            <a:xfrm>
              <a:off x="5183909" y="588818"/>
              <a:ext cx="1547091" cy="28863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Total</a:t>
              </a:r>
              <a:r>
                <a:rPr lang="en-US" sz="1800" baseline="0"/>
                <a:t> Qunatity</a:t>
              </a:r>
              <a:endParaRPr lang="en-US" sz="1800"/>
            </a:p>
          </xdr:txBody>
        </xdr:sp>
      </xdr:grpSp>
    </xdr:grpSp>
    <xdr:clientData/>
  </xdr:twoCellAnchor>
  <xdr:twoCellAnchor>
    <xdr:from>
      <xdr:col>51</xdr:col>
      <xdr:colOff>76200</xdr:colOff>
      <xdr:row>9</xdr:row>
      <xdr:rowOff>152400</xdr:rowOff>
    </xdr:from>
    <xdr:to>
      <xdr:col>65</xdr:col>
      <xdr:colOff>76200</xdr:colOff>
      <xdr:row>39</xdr:row>
      <xdr:rowOff>114300</xdr:rowOff>
    </xdr:to>
    <xdr:graphicFrame macro="">
      <xdr:nvGraphicFramePr>
        <xdr:cNvPr id="17" name="Chart 16">
          <a:extLst>
            <a:ext uri="{FF2B5EF4-FFF2-40B4-BE49-F238E27FC236}">
              <a16:creationId xmlns:a16="http://schemas.microsoft.com/office/drawing/2014/main" id="{E7062ED2-F75B-4168-9DC4-FDC6D4134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-1</xdr:colOff>
      <xdr:row>41</xdr:row>
      <xdr:rowOff>0</xdr:rowOff>
    </xdr:from>
    <xdr:to>
      <xdr:col>65</xdr:col>
      <xdr:colOff>1277</xdr:colOff>
      <xdr:row>70</xdr:row>
      <xdr:rowOff>130769</xdr:rowOff>
    </xdr:to>
    <xdr:graphicFrame macro="">
      <xdr:nvGraphicFramePr>
        <xdr:cNvPr id="18" name="Chart 17">
          <a:extLst>
            <a:ext uri="{FF2B5EF4-FFF2-40B4-BE49-F238E27FC236}">
              <a16:creationId xmlns:a16="http://schemas.microsoft.com/office/drawing/2014/main" id="{050BC983-5F25-495F-9D37-B4201D32E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Reda" refreshedDate="46289.336659837965" createdVersion="8" refreshedVersion="8" minRefreshableVersion="3" recordCount="499" xr:uid="{48C40C72-E5AB-4283-995D-D9F12DC51E5D}">
  <cacheSource type="worksheet">
    <worksheetSource name="orders"/>
  </cacheSource>
  <cacheFields count="23">
    <cacheField name="Row ID" numFmtId="0">
      <sharedItems containsSemiMixedTypes="0" containsString="0" containsNumber="1" containsInteger="1" minValue="1" maxValue="499" count="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sharedItems>
    </cacheField>
    <cacheField name="Order ID" numFmtId="0">
      <sharedItems count="231">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haredItems>
    </cacheField>
    <cacheField name="Order Date" numFmtId="14">
      <sharedItems containsSemiMixedTypes="0" containsNonDate="0" containsDate="1" containsString="0" minDate="2014-02-12T00:00:00" maxDate="2017-12-29T00:00:00"/>
    </cacheField>
    <cacheField name="Month" numFmtId="14">
      <sharedItems/>
    </cacheField>
    <cacheField name="Year" numFmtId="14">
      <sharedItems count="5">
        <s v="2016"/>
        <s v="2015"/>
        <s v="2014"/>
        <s v="2017"/>
        <s v="2018"/>
      </sharedItems>
    </cacheField>
    <cacheField name="Ship Date" numFmtId="14">
      <sharedItems/>
    </cacheField>
    <cacheField name="Ship Mode" numFmtId="0">
      <sharedItems count="4">
        <s v="Second Class"/>
        <s v="Standard Class"/>
        <s v="First Class"/>
        <s v="Same Day"/>
      </sharedItems>
    </cacheField>
    <cacheField name="Customer ID" numFmtId="0">
      <sharedItems/>
    </cacheField>
    <cacheField name="Customer Name" numFmtId="0">
      <sharedItems count="199">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haredItems>
    </cacheField>
    <cacheField name="Segment" numFmtId="0">
      <sharedItems count="3">
        <s v="Consumer"/>
        <s v="Corporate"/>
        <s v="Home Office"/>
      </sharedItems>
    </cacheField>
    <cacheField name="Location" numFmtId="0">
      <sharedItems count="117">
        <s v="United States,Henderson"/>
        <s v="United States,Los Angeles"/>
        <s v="United States,Fort Lauderdale"/>
        <s v="United States,Concord"/>
        <s v="United States,Seattle"/>
        <s v="United States,Fort Worth"/>
        <s v="United States,Madison"/>
        <s v="United States,West Jordan"/>
        <s v="United States,San Francisco"/>
        <s v="United States,Fremont"/>
        <s v="United States,Philadelphia"/>
        <s v="United States,Orem"/>
        <s v="United States,Houston"/>
        <s v="United States,Richardson"/>
        <s v="United States,Naperville"/>
        <s v="United States,Melbourne"/>
        <s v="United States,Eagan"/>
        <s v="United States,Westland"/>
        <s v="United States,Dover"/>
        <s v="United States,New Albany"/>
        <s v="United States,New York City"/>
        <s v="United States,Troy"/>
        <s v="United States,Chicago"/>
        <s v="United States,Gilbert"/>
        <s v="United States,Springfield"/>
        <s v="United States,Jackson"/>
        <s v="United States,Memphis"/>
        <s v="United States,Decatur"/>
        <s v="United States,Durham"/>
        <s v="United States,Columbia"/>
        <s v="United States,Rochester"/>
        <s v="United States,Minneapolis"/>
        <s v="United States,Portland"/>
        <s v="United States,Saint Paul"/>
        <s v="United States,Aurora"/>
        <s v="United States,Charlotte"/>
        <s v="United States,Orland Park"/>
        <s v="United States,Urbandale"/>
        <s v="United States,Columbus"/>
        <s v="United States,Bristol"/>
        <s v="United States,Wilmington"/>
        <s v="United States,Bloomington"/>
        <s v="United States,Phoenix"/>
        <s v="United States,Roseville"/>
        <s v="United States,Independence"/>
        <s v="United States,Pasadena"/>
        <s v="United States,Newark"/>
        <s v="United States,Franklin"/>
        <s v="United States,Scottsdale"/>
        <s v="United States,San Jose"/>
        <s v="United States,Edmond"/>
        <s v="United States,Carlsbad"/>
        <s v="United States,San Antonio"/>
        <s v="United States,Monroe"/>
        <s v="United States,Fairfield"/>
        <s v="United States,Grand Prairie"/>
        <s v="United States,Redlands"/>
        <s v="United States,Hamilton"/>
        <s v="United States,Westfield"/>
        <s v="United States,Akron"/>
        <s v="United States,Denver"/>
        <s v="United States,Dallas"/>
        <s v="United States,Whittier"/>
        <s v="United States,Saginaw"/>
        <s v="United States,Medina"/>
        <s v="United States,Dublin"/>
        <s v="United States,Detroit"/>
        <s v="United States,Tampa"/>
        <s v="United States,Santa Clara"/>
        <s v="United States,Lakeville"/>
        <s v="United States,San Diego"/>
        <s v="United States,Brentwood"/>
        <s v="United States,Chapel Hill"/>
        <s v="United States,Morristown"/>
        <s v="United States,Cincinnati"/>
        <s v="United States,Inglewood"/>
        <s v="United States,Tamarac"/>
        <s v="United States,Colorado Springs"/>
        <s v="United States,Belleville"/>
        <s v="United States,Taylor"/>
        <s v="United States,Lakewood"/>
        <s v="United States,Arlington"/>
        <s v="United States,Arvada"/>
        <s v="United States,Hackensack"/>
        <s v="United States,Saint Petersburg"/>
        <s v="United States,Long Beach"/>
        <s v="United States,Hesperia"/>
        <s v="United States,Murfreesboro"/>
        <s v="United States,Layton"/>
        <s v="United States,Austin"/>
        <s v="United States,Lowell"/>
        <s v="United States,Manchester"/>
        <s v="United States,Harlingen"/>
        <s v="United States,Tucson"/>
        <s v="United States,Quincy"/>
        <s v="United States,Pembroke Pines"/>
        <s v="United States,Des Moines"/>
        <s v="United States,Peoria"/>
        <s v="United States,Las Vegas"/>
        <s v="United States,Warwick"/>
        <s v="United States,Miami"/>
        <s v="United States,Huntington Beach"/>
        <s v="United States,Richmond"/>
        <s v="United States,Louisville"/>
        <s v="United States,Lawrence"/>
        <s v="United States,Canton"/>
        <s v="United States,New Rochelle"/>
        <s v="United States,Gastonia"/>
        <s v="United States,Jacksonville"/>
        <s v="United States,Auburn"/>
        <s v="United States,Norman"/>
        <s v="United States,Park Ridge"/>
        <s v="United States,Amarillo"/>
        <s v="United States,Lindenhurst"/>
        <s v="United States,Huntsville"/>
        <s v="United States,Fayetteville"/>
        <s v="United States,Costa Mesa"/>
      </sharedItems>
    </cacheField>
    <cacheField name="City" numFmtId="0">
      <sharedItems count="117">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haredItems>
    </cacheField>
    <cacheField name="State" numFmtId="0">
      <sharedItems count="37">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haredItems>
    </cacheField>
    <cacheField name="Postal Code" numFmtId="0">
      <sharedItems containsSemiMixedTypes="0" containsString="0" containsNumber="1" containsInteger="1" minValue="1841" maxValue="98198"/>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442">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haredItems>
    </cacheField>
    <cacheField name="Sales" numFmtId="0">
      <sharedItems containsSemiMixedTypes="0" containsString="0" containsNumber="1" minValue="1.2479999999999998" maxValue="8159.9519999999993" count="476">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1995.99"/>
    </cacheField>
  </cacheFields>
  <extLst>
    <ext xmlns:x14="http://schemas.microsoft.com/office/spreadsheetml/2009/9/main" uri="{725AE2AE-9491-48be-B2B4-4EB974FC3084}">
      <x14:pivotCacheDefinition pivotCacheId="12164110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Reda" refreshedDate="46289.342784606481" createdVersion="8" refreshedVersion="8" minRefreshableVersion="3" recordCount="296" xr:uid="{AA80F2C9-40A5-4DDA-A2AE-64D00C242BE0}">
  <cacheSource type="worksheet">
    <worksheetSource name="Return"/>
  </cacheSource>
  <cacheFields count="2">
    <cacheField name="Returned" numFmtId="0">
      <sharedItems count="1">
        <s v="Yes"/>
      </sharedItems>
    </cacheField>
    <cacheField name="Order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x v="0"/>
    <d v="2016-11-08T00:00:00"/>
    <s v="11"/>
    <x v="0"/>
    <s v="1101102016"/>
    <x v="0"/>
    <s v="CG-12520"/>
    <x v="0"/>
    <x v="0"/>
    <x v="0"/>
    <x v="0"/>
    <x v="0"/>
    <n v="42420"/>
    <x v="0"/>
    <s v="FUR-BO-10001798"/>
    <x v="0"/>
    <x v="0"/>
    <x v="0"/>
    <x v="0"/>
    <n v="2"/>
    <n v="0"/>
    <n v="41.913600000000002"/>
  </r>
  <r>
    <x v="1"/>
    <x v="0"/>
    <d v="2016-11-08T00:00:00"/>
    <s v="11"/>
    <x v="0"/>
    <s v="1101102016"/>
    <x v="0"/>
    <s v="CG-12520"/>
    <x v="0"/>
    <x v="0"/>
    <x v="0"/>
    <x v="0"/>
    <x v="0"/>
    <n v="42420"/>
    <x v="0"/>
    <s v="FUR-CH-10000454"/>
    <x v="0"/>
    <x v="1"/>
    <x v="1"/>
    <x v="1"/>
    <n v="3"/>
    <n v="0"/>
    <n v="219.58199999999997"/>
  </r>
  <r>
    <x v="2"/>
    <x v="1"/>
    <d v="2016-06-12T00:00:00"/>
    <s v="6"/>
    <x v="0"/>
    <s v="601602016"/>
    <x v="0"/>
    <s v="DV-13045"/>
    <x v="1"/>
    <x v="1"/>
    <x v="1"/>
    <x v="1"/>
    <x v="1"/>
    <n v="90036"/>
    <x v="1"/>
    <s v="OFF-LA-10000240"/>
    <x v="1"/>
    <x v="2"/>
    <x v="2"/>
    <x v="2"/>
    <n v="2"/>
    <n v="0"/>
    <n v="6.8713999999999995"/>
  </r>
  <r>
    <x v="3"/>
    <x v="2"/>
    <d v="2015-10-11T00:00:00"/>
    <s v="1"/>
    <x v="1"/>
    <s v="1001802015"/>
    <x v="1"/>
    <s v="SO-20335"/>
    <x v="2"/>
    <x v="0"/>
    <x v="2"/>
    <x v="2"/>
    <x v="2"/>
    <n v="33311"/>
    <x v="0"/>
    <s v="FUR-TA-10000577"/>
    <x v="0"/>
    <x v="3"/>
    <x v="3"/>
    <x v="3"/>
    <n v="5"/>
    <n v="0.45"/>
    <n v="-383.03100000000006"/>
  </r>
  <r>
    <x v="4"/>
    <x v="2"/>
    <d v="2015-10-11T00:00:00"/>
    <s v="1"/>
    <x v="1"/>
    <s v="1001802015"/>
    <x v="1"/>
    <s v="SO-20335"/>
    <x v="2"/>
    <x v="0"/>
    <x v="2"/>
    <x v="2"/>
    <x v="2"/>
    <n v="33311"/>
    <x v="0"/>
    <s v="OFF-ST-10000760"/>
    <x v="1"/>
    <x v="4"/>
    <x v="4"/>
    <x v="4"/>
    <n v="2"/>
    <n v="0.2"/>
    <n v="2.5163999999999991"/>
  </r>
  <r>
    <x v="5"/>
    <x v="3"/>
    <d v="2014-06-09T00:00:00"/>
    <s v="6"/>
    <x v="2"/>
    <s v="601402014"/>
    <x v="1"/>
    <s v="BH-11710"/>
    <x v="3"/>
    <x v="0"/>
    <x v="1"/>
    <x v="1"/>
    <x v="1"/>
    <n v="90032"/>
    <x v="1"/>
    <s v="FUR-FU-10001487"/>
    <x v="0"/>
    <x v="5"/>
    <x v="5"/>
    <x v="5"/>
    <n v="7"/>
    <n v="0"/>
    <n v="14.169399999999996"/>
  </r>
  <r>
    <x v="6"/>
    <x v="3"/>
    <d v="2014-06-09T00:00:00"/>
    <s v="6"/>
    <x v="2"/>
    <s v="601402014"/>
    <x v="1"/>
    <s v="BH-11710"/>
    <x v="3"/>
    <x v="0"/>
    <x v="1"/>
    <x v="1"/>
    <x v="1"/>
    <n v="90032"/>
    <x v="1"/>
    <s v="OFF-AR-10002833"/>
    <x v="1"/>
    <x v="6"/>
    <x v="6"/>
    <x v="6"/>
    <n v="4"/>
    <n v="0"/>
    <n v="1.9656000000000002"/>
  </r>
  <r>
    <x v="7"/>
    <x v="3"/>
    <d v="2014-06-09T00:00:00"/>
    <s v="6"/>
    <x v="2"/>
    <s v="601402014"/>
    <x v="1"/>
    <s v="BH-11710"/>
    <x v="3"/>
    <x v="0"/>
    <x v="1"/>
    <x v="1"/>
    <x v="1"/>
    <n v="90032"/>
    <x v="1"/>
    <s v="TEC-PH-10002275"/>
    <x v="2"/>
    <x v="7"/>
    <x v="7"/>
    <x v="7"/>
    <n v="6"/>
    <n v="0.2"/>
    <n v="90.715200000000038"/>
  </r>
  <r>
    <x v="8"/>
    <x v="3"/>
    <d v="2014-06-09T00:00:00"/>
    <s v="6"/>
    <x v="2"/>
    <s v="601402014"/>
    <x v="1"/>
    <s v="BH-11710"/>
    <x v="3"/>
    <x v="0"/>
    <x v="1"/>
    <x v="1"/>
    <x v="1"/>
    <n v="90032"/>
    <x v="1"/>
    <s v="OFF-BI-10003910"/>
    <x v="1"/>
    <x v="8"/>
    <x v="8"/>
    <x v="8"/>
    <n v="3"/>
    <n v="0.2"/>
    <n v="5.7824999999999998"/>
  </r>
  <r>
    <x v="9"/>
    <x v="3"/>
    <d v="2014-06-09T00:00:00"/>
    <s v="6"/>
    <x v="2"/>
    <s v="601402014"/>
    <x v="1"/>
    <s v="BH-11710"/>
    <x v="3"/>
    <x v="0"/>
    <x v="1"/>
    <x v="1"/>
    <x v="1"/>
    <n v="90032"/>
    <x v="1"/>
    <s v="OFF-AP-10002892"/>
    <x v="1"/>
    <x v="9"/>
    <x v="9"/>
    <x v="9"/>
    <n v="5"/>
    <n v="0"/>
    <n v="34.469999999999992"/>
  </r>
  <r>
    <x v="10"/>
    <x v="3"/>
    <d v="2014-06-09T00:00:00"/>
    <s v="6"/>
    <x v="2"/>
    <s v="601402014"/>
    <x v="1"/>
    <s v="BH-11710"/>
    <x v="3"/>
    <x v="0"/>
    <x v="1"/>
    <x v="1"/>
    <x v="1"/>
    <n v="90032"/>
    <x v="1"/>
    <s v="FUR-TA-10001539"/>
    <x v="0"/>
    <x v="3"/>
    <x v="10"/>
    <x v="10"/>
    <n v="9"/>
    <n v="0.2"/>
    <n v="85.309199999999805"/>
  </r>
  <r>
    <x v="11"/>
    <x v="3"/>
    <d v="2014-06-09T00:00:00"/>
    <s v="6"/>
    <x v="2"/>
    <s v="601402014"/>
    <x v="1"/>
    <s v="BH-11710"/>
    <x v="3"/>
    <x v="0"/>
    <x v="1"/>
    <x v="1"/>
    <x v="1"/>
    <n v="90032"/>
    <x v="1"/>
    <s v="TEC-PH-10002033"/>
    <x v="2"/>
    <x v="7"/>
    <x v="11"/>
    <x v="11"/>
    <n v="4"/>
    <n v="0.2"/>
    <n v="68.356800000000021"/>
  </r>
  <r>
    <x v="12"/>
    <x v="4"/>
    <d v="2017-04-15T00:00:00"/>
    <s v="4"/>
    <x v="3"/>
    <s v="402002017"/>
    <x v="1"/>
    <s v="AA-10480"/>
    <x v="4"/>
    <x v="0"/>
    <x v="3"/>
    <x v="3"/>
    <x v="3"/>
    <n v="28027"/>
    <x v="0"/>
    <s v="OFF-PA-10002365"/>
    <x v="1"/>
    <x v="10"/>
    <x v="12"/>
    <x v="12"/>
    <n v="3"/>
    <n v="0.2"/>
    <n v="5.4432"/>
  </r>
  <r>
    <x v="13"/>
    <x v="5"/>
    <d v="2016-12-05T00:00:00"/>
    <s v="12"/>
    <x v="0"/>
    <s v="1201002016"/>
    <x v="1"/>
    <s v="IM-15070"/>
    <x v="5"/>
    <x v="0"/>
    <x v="4"/>
    <x v="4"/>
    <x v="4"/>
    <n v="98103"/>
    <x v="1"/>
    <s v="OFF-BI-10003656"/>
    <x v="1"/>
    <x v="8"/>
    <x v="13"/>
    <x v="13"/>
    <n v="3"/>
    <n v="0.2"/>
    <n v="132.59219999999993"/>
  </r>
  <r>
    <x v="14"/>
    <x v="6"/>
    <d v="2015-11-22T00:00:00"/>
    <s v="11"/>
    <x v="1"/>
    <s v="1102602015"/>
    <x v="1"/>
    <s v="HP-14815"/>
    <x v="6"/>
    <x v="2"/>
    <x v="5"/>
    <x v="5"/>
    <x v="5"/>
    <n v="76106"/>
    <x v="2"/>
    <s v="OFF-AP-10002311"/>
    <x v="1"/>
    <x v="9"/>
    <x v="14"/>
    <x v="14"/>
    <n v="5"/>
    <n v="0.8"/>
    <n v="-123.858"/>
  </r>
  <r>
    <x v="15"/>
    <x v="6"/>
    <d v="2015-11-22T00:00:00"/>
    <s v="11"/>
    <x v="1"/>
    <s v="1102602015"/>
    <x v="1"/>
    <s v="HP-14815"/>
    <x v="6"/>
    <x v="2"/>
    <x v="5"/>
    <x v="5"/>
    <x v="5"/>
    <n v="76106"/>
    <x v="2"/>
    <s v="OFF-BI-10000756"/>
    <x v="1"/>
    <x v="8"/>
    <x v="15"/>
    <x v="15"/>
    <n v="3"/>
    <n v="0.8"/>
    <n v="-3.8160000000000016"/>
  </r>
  <r>
    <x v="16"/>
    <x v="7"/>
    <d v="2014-11-11T00:00:00"/>
    <s v="11"/>
    <x v="2"/>
    <s v="1101802014"/>
    <x v="1"/>
    <s v="PK-19075"/>
    <x v="7"/>
    <x v="0"/>
    <x v="6"/>
    <x v="6"/>
    <x v="6"/>
    <n v="53711"/>
    <x v="2"/>
    <s v="OFF-ST-10004186"/>
    <x v="1"/>
    <x v="4"/>
    <x v="16"/>
    <x v="16"/>
    <n v="6"/>
    <n v="0"/>
    <n v="13.317599999999999"/>
  </r>
  <r>
    <x v="17"/>
    <x v="8"/>
    <d v="2014-05-13T00:00:00"/>
    <s v="5"/>
    <x v="2"/>
    <s v="501502014"/>
    <x v="0"/>
    <s v="AG-10270"/>
    <x v="8"/>
    <x v="0"/>
    <x v="7"/>
    <x v="7"/>
    <x v="7"/>
    <n v="84084"/>
    <x v="1"/>
    <s v="OFF-ST-10000107"/>
    <x v="1"/>
    <x v="4"/>
    <x v="17"/>
    <x v="17"/>
    <n v="2"/>
    <n v="0"/>
    <n v="9.9899999999999949"/>
  </r>
  <r>
    <x v="18"/>
    <x v="9"/>
    <d v="2014-08-27T00:00:00"/>
    <s v="9"/>
    <x v="2"/>
    <s v="90102014"/>
    <x v="0"/>
    <s v="ZD-21925"/>
    <x v="9"/>
    <x v="0"/>
    <x v="8"/>
    <x v="8"/>
    <x v="1"/>
    <n v="94109"/>
    <x v="1"/>
    <s v="OFF-AR-10003056"/>
    <x v="1"/>
    <x v="6"/>
    <x v="18"/>
    <x v="18"/>
    <n v="2"/>
    <n v="0"/>
    <n v="2.4823999999999993"/>
  </r>
  <r>
    <x v="19"/>
    <x v="9"/>
    <d v="2014-08-27T00:00:00"/>
    <s v="9"/>
    <x v="2"/>
    <s v="90102014"/>
    <x v="0"/>
    <s v="ZD-21925"/>
    <x v="9"/>
    <x v="0"/>
    <x v="8"/>
    <x v="8"/>
    <x v="1"/>
    <n v="94109"/>
    <x v="1"/>
    <s v="TEC-PH-10001949"/>
    <x v="2"/>
    <x v="7"/>
    <x v="19"/>
    <x v="19"/>
    <n v="3"/>
    <n v="0.2"/>
    <n v="16.010999999999981"/>
  </r>
  <r>
    <x v="20"/>
    <x v="9"/>
    <d v="2014-08-27T00:00:00"/>
    <s v="9"/>
    <x v="2"/>
    <s v="90102014"/>
    <x v="0"/>
    <s v="ZD-21925"/>
    <x v="9"/>
    <x v="0"/>
    <x v="8"/>
    <x v="8"/>
    <x v="1"/>
    <n v="94109"/>
    <x v="1"/>
    <s v="OFF-BI-10002215"/>
    <x v="1"/>
    <x v="8"/>
    <x v="20"/>
    <x v="20"/>
    <n v="4"/>
    <n v="0.2"/>
    <n v="7.3839999999999986"/>
  </r>
  <r>
    <x v="21"/>
    <x v="10"/>
    <d v="2016-12-09T00:00:00"/>
    <s v="12"/>
    <x v="0"/>
    <s v="1201302016"/>
    <x v="1"/>
    <s v="KB-16585"/>
    <x v="10"/>
    <x v="1"/>
    <x v="9"/>
    <x v="9"/>
    <x v="8"/>
    <n v="68025"/>
    <x v="2"/>
    <s v="OFF-AR-10000246"/>
    <x v="1"/>
    <x v="6"/>
    <x v="21"/>
    <x v="21"/>
    <n v="7"/>
    <n v="0"/>
    <n v="5.0595999999999997"/>
  </r>
  <r>
    <x v="22"/>
    <x v="10"/>
    <d v="2016-12-09T00:00:00"/>
    <s v="12"/>
    <x v="0"/>
    <s v="1201302016"/>
    <x v="1"/>
    <s v="KB-16585"/>
    <x v="10"/>
    <x v="1"/>
    <x v="9"/>
    <x v="9"/>
    <x v="8"/>
    <n v="68025"/>
    <x v="2"/>
    <s v="OFF-AP-10001492"/>
    <x v="1"/>
    <x v="9"/>
    <x v="22"/>
    <x v="22"/>
    <n v="7"/>
    <n v="0"/>
    <n v="15.688400000000001"/>
  </r>
  <r>
    <x v="23"/>
    <x v="11"/>
    <d v="2017-07-16T00:00:00"/>
    <s v="7"/>
    <x v="3"/>
    <s v="701802017"/>
    <x v="0"/>
    <s v="SF-20065"/>
    <x v="11"/>
    <x v="0"/>
    <x v="10"/>
    <x v="10"/>
    <x v="9"/>
    <n v="19140"/>
    <x v="3"/>
    <s v="FUR-CH-10002774"/>
    <x v="0"/>
    <x v="1"/>
    <x v="23"/>
    <x v="23"/>
    <n v="2"/>
    <n v="0.3"/>
    <n v="-1.0196000000000005"/>
  </r>
  <r>
    <x v="24"/>
    <x v="12"/>
    <d v="2015-09-25T00:00:00"/>
    <s v="9"/>
    <x v="1"/>
    <s v="903002015"/>
    <x v="1"/>
    <s v="EB-13870"/>
    <x v="12"/>
    <x v="0"/>
    <x v="11"/>
    <x v="11"/>
    <x v="7"/>
    <n v="84057"/>
    <x v="1"/>
    <s v="FUR-TA-10000577"/>
    <x v="0"/>
    <x v="3"/>
    <x v="3"/>
    <x v="24"/>
    <n v="3"/>
    <n v="0"/>
    <n v="240.26490000000001"/>
  </r>
  <r>
    <x v="25"/>
    <x v="13"/>
    <d v="2016-01-16T00:00:00"/>
    <s v="1"/>
    <x v="0"/>
    <s v="102002016"/>
    <x v="0"/>
    <s v="EH-13945"/>
    <x v="13"/>
    <x v="0"/>
    <x v="1"/>
    <x v="1"/>
    <x v="1"/>
    <n v="90049"/>
    <x v="1"/>
    <s v="OFF-BI-10001634"/>
    <x v="1"/>
    <x v="8"/>
    <x v="24"/>
    <x v="25"/>
    <n v="2"/>
    <n v="0.2"/>
    <n v="4.2224000000000004"/>
  </r>
  <r>
    <x v="26"/>
    <x v="13"/>
    <d v="2016-01-16T00:00:00"/>
    <s v="1"/>
    <x v="0"/>
    <s v="102002016"/>
    <x v="0"/>
    <s v="EH-13945"/>
    <x v="13"/>
    <x v="0"/>
    <x v="1"/>
    <x v="1"/>
    <x v="1"/>
    <n v="90049"/>
    <x v="1"/>
    <s v="TEC-AC-10003027"/>
    <x v="2"/>
    <x v="11"/>
    <x v="25"/>
    <x v="26"/>
    <n v="3"/>
    <n v="0"/>
    <n v="11.774100000000004"/>
  </r>
  <r>
    <x v="27"/>
    <x v="14"/>
    <d v="2015-09-17T00:00:00"/>
    <s v="9"/>
    <x v="1"/>
    <s v="902102015"/>
    <x v="1"/>
    <s v="TB-21520"/>
    <x v="14"/>
    <x v="0"/>
    <x v="10"/>
    <x v="10"/>
    <x v="9"/>
    <n v="19140"/>
    <x v="3"/>
    <s v="FUR-BO-10004834"/>
    <x v="0"/>
    <x v="0"/>
    <x v="26"/>
    <x v="27"/>
    <n v="7"/>
    <n v="0.5"/>
    <n v="-1665.0522000000001"/>
  </r>
  <r>
    <x v="28"/>
    <x v="14"/>
    <d v="2015-09-17T00:00:00"/>
    <s v="9"/>
    <x v="1"/>
    <s v="902102015"/>
    <x v="1"/>
    <s v="TB-21520"/>
    <x v="14"/>
    <x v="0"/>
    <x v="10"/>
    <x v="10"/>
    <x v="9"/>
    <n v="19140"/>
    <x v="3"/>
    <s v="OFF-BI-10000474"/>
    <x v="1"/>
    <x v="8"/>
    <x v="27"/>
    <x v="28"/>
    <n v="2"/>
    <n v="0.7"/>
    <n v="-7.0532000000000004"/>
  </r>
  <r>
    <x v="29"/>
    <x v="14"/>
    <d v="2015-09-17T00:00:00"/>
    <s v="9"/>
    <x v="1"/>
    <s v="902102015"/>
    <x v="1"/>
    <s v="TB-21520"/>
    <x v="14"/>
    <x v="0"/>
    <x v="10"/>
    <x v="10"/>
    <x v="9"/>
    <n v="19140"/>
    <x v="3"/>
    <s v="FUR-FU-10004848"/>
    <x v="0"/>
    <x v="5"/>
    <x v="28"/>
    <x v="29"/>
    <n v="3"/>
    <n v="0.2"/>
    <n v="15.524999999999991"/>
  </r>
  <r>
    <x v="30"/>
    <x v="14"/>
    <d v="2015-09-17T00:00:00"/>
    <s v="9"/>
    <x v="1"/>
    <s v="902102015"/>
    <x v="1"/>
    <s v="TB-21520"/>
    <x v="14"/>
    <x v="0"/>
    <x v="10"/>
    <x v="10"/>
    <x v="9"/>
    <n v="19140"/>
    <x v="3"/>
    <s v="OFF-EN-10001509"/>
    <x v="1"/>
    <x v="12"/>
    <x v="29"/>
    <x v="30"/>
    <n v="2"/>
    <n v="0.2"/>
    <n v="1.1015999999999997"/>
  </r>
  <r>
    <x v="31"/>
    <x v="14"/>
    <d v="2015-09-17T00:00:00"/>
    <s v="9"/>
    <x v="1"/>
    <s v="902102015"/>
    <x v="1"/>
    <s v="TB-21520"/>
    <x v="14"/>
    <x v="0"/>
    <x v="10"/>
    <x v="10"/>
    <x v="9"/>
    <n v="19140"/>
    <x v="3"/>
    <s v="OFF-AR-10004042"/>
    <x v="1"/>
    <x v="6"/>
    <x v="30"/>
    <x v="31"/>
    <n v="6"/>
    <n v="0.2"/>
    <n v="9.7091999999999885"/>
  </r>
  <r>
    <x v="32"/>
    <x v="14"/>
    <d v="2015-09-17T00:00:00"/>
    <s v="9"/>
    <x v="1"/>
    <s v="902102015"/>
    <x v="1"/>
    <s v="TB-21520"/>
    <x v="14"/>
    <x v="0"/>
    <x v="10"/>
    <x v="10"/>
    <x v="9"/>
    <n v="19140"/>
    <x v="3"/>
    <s v="OFF-BI-10001525"/>
    <x v="1"/>
    <x v="8"/>
    <x v="31"/>
    <x v="32"/>
    <n v="6"/>
    <n v="0.7"/>
    <n v="-5.7149999999999999"/>
  </r>
  <r>
    <x v="33"/>
    <x v="14"/>
    <d v="2015-09-17T00:00:00"/>
    <s v="9"/>
    <x v="1"/>
    <s v="902102015"/>
    <x v="1"/>
    <s v="TB-21520"/>
    <x v="14"/>
    <x v="0"/>
    <x v="10"/>
    <x v="10"/>
    <x v="9"/>
    <n v="19140"/>
    <x v="3"/>
    <s v="OFF-AR-10001683"/>
    <x v="1"/>
    <x v="6"/>
    <x v="32"/>
    <x v="33"/>
    <n v="2"/>
    <n v="0.2"/>
    <n v="3.5460000000000007"/>
  </r>
  <r>
    <x v="34"/>
    <x v="15"/>
    <d v="2017-10-19T00:00:00"/>
    <s v="1"/>
    <x v="3"/>
    <s v="1002302017"/>
    <x v="0"/>
    <s v="MA-17560"/>
    <x v="15"/>
    <x v="2"/>
    <x v="12"/>
    <x v="12"/>
    <x v="5"/>
    <n v="77095"/>
    <x v="2"/>
    <s v="OFF-PA-10000249"/>
    <x v="1"/>
    <x v="10"/>
    <x v="33"/>
    <x v="34"/>
    <n v="3"/>
    <n v="0.2"/>
    <n v="9.9467999999999979"/>
  </r>
  <r>
    <x v="35"/>
    <x v="16"/>
    <d v="2016-12-08T00:00:00"/>
    <s v="12"/>
    <x v="0"/>
    <s v="1201002016"/>
    <x v="2"/>
    <s v="GH-14485"/>
    <x v="16"/>
    <x v="1"/>
    <x v="13"/>
    <x v="13"/>
    <x v="5"/>
    <n v="75080"/>
    <x v="2"/>
    <s v="TEC-PH-10004977"/>
    <x v="2"/>
    <x v="7"/>
    <x v="34"/>
    <x v="35"/>
    <n v="7"/>
    <n v="0.2"/>
    <n v="123.47369999999989"/>
  </r>
  <r>
    <x v="36"/>
    <x v="16"/>
    <d v="2016-12-08T00:00:00"/>
    <s v="12"/>
    <x v="0"/>
    <s v="1201002016"/>
    <x v="2"/>
    <s v="GH-14485"/>
    <x v="16"/>
    <x v="1"/>
    <x v="13"/>
    <x v="13"/>
    <x v="5"/>
    <n v="75080"/>
    <x v="2"/>
    <s v="FUR-FU-10003664"/>
    <x v="0"/>
    <x v="5"/>
    <x v="35"/>
    <x v="36"/>
    <n v="5"/>
    <n v="0.6"/>
    <n v="-147.96300000000002"/>
  </r>
  <r>
    <x v="37"/>
    <x v="17"/>
    <d v="2015-12-27T00:00:00"/>
    <s v="12"/>
    <x v="1"/>
    <s v="1203102015"/>
    <x v="1"/>
    <s v="SN-20710"/>
    <x v="17"/>
    <x v="2"/>
    <x v="12"/>
    <x v="12"/>
    <x v="5"/>
    <n v="77041"/>
    <x v="2"/>
    <s v="OFF-EN-10002986"/>
    <x v="1"/>
    <x v="12"/>
    <x v="36"/>
    <x v="37"/>
    <n v="9"/>
    <n v="0.2"/>
    <n v="35.414999999999999"/>
  </r>
  <r>
    <x v="38"/>
    <x v="17"/>
    <d v="2015-12-27T00:00:00"/>
    <s v="12"/>
    <x v="1"/>
    <s v="1203102015"/>
    <x v="1"/>
    <s v="SN-20710"/>
    <x v="17"/>
    <x v="2"/>
    <x v="12"/>
    <x v="12"/>
    <x v="5"/>
    <n v="77041"/>
    <x v="2"/>
    <s v="FUR-BO-10002545"/>
    <x v="0"/>
    <x v="0"/>
    <x v="37"/>
    <x v="38"/>
    <n v="3"/>
    <n v="0.32"/>
    <n v="-46.976400000000012"/>
  </r>
  <r>
    <x v="39"/>
    <x v="17"/>
    <d v="2015-12-27T00:00:00"/>
    <s v="12"/>
    <x v="1"/>
    <s v="1203102015"/>
    <x v="1"/>
    <s v="SN-20710"/>
    <x v="17"/>
    <x v="2"/>
    <x v="12"/>
    <x v="12"/>
    <x v="5"/>
    <n v="77041"/>
    <x v="2"/>
    <s v="FUR-CH-10004218"/>
    <x v="0"/>
    <x v="1"/>
    <x v="38"/>
    <x v="39"/>
    <n v="3"/>
    <n v="0.3"/>
    <n v="-15.146999999999991"/>
  </r>
  <r>
    <x v="40"/>
    <x v="17"/>
    <d v="2015-12-27T00:00:00"/>
    <s v="12"/>
    <x v="1"/>
    <s v="1203102015"/>
    <x v="1"/>
    <s v="SN-20710"/>
    <x v="17"/>
    <x v="2"/>
    <x v="12"/>
    <x v="12"/>
    <x v="5"/>
    <n v="77041"/>
    <x v="2"/>
    <s v="TEC-PH-10000486"/>
    <x v="2"/>
    <x v="7"/>
    <x v="39"/>
    <x v="40"/>
    <n v="4"/>
    <n v="0.2"/>
    <n v="41.756399999999957"/>
  </r>
  <r>
    <x v="41"/>
    <x v="18"/>
    <d v="2017-09-10T00:00:00"/>
    <s v="9"/>
    <x v="3"/>
    <s v="901502017"/>
    <x v="1"/>
    <s v="LC-16930"/>
    <x v="18"/>
    <x v="1"/>
    <x v="14"/>
    <x v="14"/>
    <x v="10"/>
    <n v="60540"/>
    <x v="2"/>
    <s v="TEC-PH-10004093"/>
    <x v="2"/>
    <x v="7"/>
    <x v="40"/>
    <x v="41"/>
    <n v="4"/>
    <n v="0.2"/>
    <n v="16.556399999999996"/>
  </r>
  <r>
    <x v="42"/>
    <x v="19"/>
    <d v="2016-07-17T00:00:00"/>
    <s v="7"/>
    <x v="0"/>
    <s v="702202016"/>
    <x v="1"/>
    <s v="RA-19885"/>
    <x v="19"/>
    <x v="1"/>
    <x v="1"/>
    <x v="1"/>
    <x v="1"/>
    <n v="90049"/>
    <x v="1"/>
    <s v="OFF-ST-10003479"/>
    <x v="1"/>
    <x v="4"/>
    <x v="41"/>
    <x v="42"/>
    <n v="2"/>
    <n v="0"/>
    <n v="3.8939999999999912"/>
  </r>
  <r>
    <x v="43"/>
    <x v="20"/>
    <d v="2017-09-19T00:00:00"/>
    <s v="9"/>
    <x v="3"/>
    <s v="902302017"/>
    <x v="1"/>
    <s v="ES-14080"/>
    <x v="20"/>
    <x v="1"/>
    <x v="15"/>
    <x v="15"/>
    <x v="2"/>
    <n v="32935"/>
    <x v="0"/>
    <s v="OFF-ST-10003282"/>
    <x v="1"/>
    <x v="4"/>
    <x v="42"/>
    <x v="43"/>
    <n v="2"/>
    <n v="0.2"/>
    <n v="9.5616000000000092"/>
  </r>
  <r>
    <x v="44"/>
    <x v="21"/>
    <d v="2016-03-11T00:00:00"/>
    <s v="3"/>
    <x v="0"/>
    <s v="301302016"/>
    <x v="2"/>
    <s v="ON-18715"/>
    <x v="21"/>
    <x v="1"/>
    <x v="16"/>
    <x v="16"/>
    <x v="11"/>
    <n v="55122"/>
    <x v="2"/>
    <s v="TEC-AC-10000171"/>
    <x v="2"/>
    <x v="11"/>
    <x v="43"/>
    <x v="44"/>
    <n v="2"/>
    <n v="0"/>
    <n v="19.7714"/>
  </r>
  <r>
    <x v="45"/>
    <x v="21"/>
    <d v="2016-03-11T00:00:00"/>
    <s v="3"/>
    <x v="0"/>
    <s v="301302016"/>
    <x v="2"/>
    <s v="ON-18715"/>
    <x v="21"/>
    <x v="1"/>
    <x v="16"/>
    <x v="16"/>
    <x v="11"/>
    <n v="55122"/>
    <x v="2"/>
    <s v="OFF-BI-10003291"/>
    <x v="1"/>
    <x v="8"/>
    <x v="44"/>
    <x v="45"/>
    <n v="2"/>
    <n v="0"/>
    <n v="8.2061999999999991"/>
  </r>
  <r>
    <x v="46"/>
    <x v="22"/>
    <d v="2014-10-20T00:00:00"/>
    <s v="1"/>
    <x v="2"/>
    <s v="1002502014"/>
    <x v="0"/>
    <s v="PO-18865"/>
    <x v="22"/>
    <x v="0"/>
    <x v="17"/>
    <x v="17"/>
    <x v="12"/>
    <n v="48185"/>
    <x v="2"/>
    <s v="OFF-ST-10001713"/>
    <x v="1"/>
    <x v="4"/>
    <x v="45"/>
    <x v="46"/>
    <n v="4"/>
    <n v="0"/>
    <n v="8.4783999999999935"/>
  </r>
  <r>
    <x v="47"/>
    <x v="23"/>
    <d v="2016-06-20T00:00:00"/>
    <s v="6"/>
    <x v="0"/>
    <s v="602502016"/>
    <x v="1"/>
    <s v="LH-16900"/>
    <x v="23"/>
    <x v="0"/>
    <x v="18"/>
    <x v="18"/>
    <x v="13"/>
    <n v="19901"/>
    <x v="3"/>
    <s v="TEC-AC-10002167"/>
    <x v="2"/>
    <x v="11"/>
    <x v="46"/>
    <x v="47"/>
    <n v="3"/>
    <n v="0"/>
    <n v="4.9500000000000011"/>
  </r>
  <r>
    <x v="48"/>
    <x v="23"/>
    <d v="2016-06-20T00:00:00"/>
    <s v="6"/>
    <x v="0"/>
    <s v="602502016"/>
    <x v="1"/>
    <s v="LH-16900"/>
    <x v="23"/>
    <x v="0"/>
    <x v="18"/>
    <x v="18"/>
    <x v="13"/>
    <n v="19901"/>
    <x v="3"/>
    <s v="TEC-PH-10003988"/>
    <x v="2"/>
    <x v="7"/>
    <x v="47"/>
    <x v="48"/>
    <n v="2"/>
    <n v="0"/>
    <n v="6.104000000000001"/>
  </r>
  <r>
    <x v="49"/>
    <x v="24"/>
    <d v="2015-04-18T00:00:00"/>
    <s v="4"/>
    <x v="1"/>
    <s v="402202015"/>
    <x v="1"/>
    <s v="DP-13000"/>
    <x v="24"/>
    <x v="0"/>
    <x v="19"/>
    <x v="19"/>
    <x v="14"/>
    <n v="47150"/>
    <x v="2"/>
    <s v="OFF-BI-10004410"/>
    <x v="1"/>
    <x v="8"/>
    <x v="48"/>
    <x v="49"/>
    <n v="6"/>
    <n v="0"/>
    <n v="17.9634"/>
  </r>
  <r>
    <x v="50"/>
    <x v="24"/>
    <d v="2015-04-18T00:00:00"/>
    <s v="4"/>
    <x v="1"/>
    <s v="402202015"/>
    <x v="1"/>
    <s v="DP-13000"/>
    <x v="24"/>
    <x v="0"/>
    <x v="19"/>
    <x v="19"/>
    <x v="14"/>
    <n v="47150"/>
    <x v="2"/>
    <s v="OFF-LA-10002762"/>
    <x v="1"/>
    <x v="2"/>
    <x v="49"/>
    <x v="50"/>
    <n v="6"/>
    <n v="0"/>
    <n v="35.334599999999995"/>
  </r>
  <r>
    <x v="51"/>
    <x v="24"/>
    <d v="2015-04-18T00:00:00"/>
    <s v="4"/>
    <x v="1"/>
    <s v="402202015"/>
    <x v="1"/>
    <s v="DP-13000"/>
    <x v="24"/>
    <x v="0"/>
    <x v="19"/>
    <x v="19"/>
    <x v="14"/>
    <n v="47150"/>
    <x v="2"/>
    <s v="FUR-FU-10001706"/>
    <x v="0"/>
    <x v="5"/>
    <x v="50"/>
    <x v="51"/>
    <n v="2"/>
    <n v="0"/>
    <n v="2.9567999999999999"/>
  </r>
  <r>
    <x v="52"/>
    <x v="24"/>
    <d v="2015-04-18T00:00:00"/>
    <s v="4"/>
    <x v="1"/>
    <s v="402202015"/>
    <x v="1"/>
    <s v="DP-13000"/>
    <x v="24"/>
    <x v="0"/>
    <x v="19"/>
    <x v="19"/>
    <x v="14"/>
    <n v="47150"/>
    <x v="2"/>
    <s v="FUR-CH-10003061"/>
    <x v="0"/>
    <x v="1"/>
    <x v="51"/>
    <x v="52"/>
    <n v="1"/>
    <n v="0"/>
    <n v="17.098099999999988"/>
  </r>
  <r>
    <x v="53"/>
    <x v="25"/>
    <d v="2016-12-11T00:00:00"/>
    <s v="12"/>
    <x v="0"/>
    <s v="1201702016"/>
    <x v="1"/>
    <s v="JM-15265"/>
    <x v="25"/>
    <x v="1"/>
    <x v="20"/>
    <x v="20"/>
    <x v="15"/>
    <n v="10024"/>
    <x v="3"/>
    <s v="OFF-FA-10000304"/>
    <x v="1"/>
    <x v="13"/>
    <x v="52"/>
    <x v="53"/>
    <n v="7"/>
    <n v="0"/>
    <n v="6.2566000000000006"/>
  </r>
  <r>
    <x v="54"/>
    <x v="25"/>
    <d v="2016-12-11T00:00:00"/>
    <s v="12"/>
    <x v="0"/>
    <s v="1201702016"/>
    <x v="1"/>
    <s v="JM-15265"/>
    <x v="25"/>
    <x v="1"/>
    <x v="20"/>
    <x v="20"/>
    <x v="15"/>
    <n v="10024"/>
    <x v="3"/>
    <s v="TEC-PH-10002447"/>
    <x v="2"/>
    <x v="7"/>
    <x v="53"/>
    <x v="54"/>
    <n v="5"/>
    <n v="0"/>
    <n v="298.68549999999999"/>
  </r>
  <r>
    <x v="55"/>
    <x v="26"/>
    <d v="2016-06-17T00:00:00"/>
    <s v="6"/>
    <x v="0"/>
    <s v="601802016"/>
    <x v="2"/>
    <s v="TB-21055"/>
    <x v="26"/>
    <x v="0"/>
    <x v="21"/>
    <x v="21"/>
    <x v="15"/>
    <n v="12180"/>
    <x v="3"/>
    <s v="OFF-ST-10000604"/>
    <x v="1"/>
    <x v="4"/>
    <x v="54"/>
    <x v="55"/>
    <n v="6"/>
    <n v="0"/>
    <n v="52.139999999999986"/>
  </r>
  <r>
    <x v="56"/>
    <x v="26"/>
    <d v="2016-06-17T00:00:00"/>
    <s v="6"/>
    <x v="0"/>
    <s v="601802016"/>
    <x v="2"/>
    <s v="TB-21055"/>
    <x v="26"/>
    <x v="0"/>
    <x v="21"/>
    <x v="21"/>
    <x v="15"/>
    <n v="12180"/>
    <x v="3"/>
    <s v="OFF-PA-10001569"/>
    <x v="1"/>
    <x v="10"/>
    <x v="55"/>
    <x v="56"/>
    <n v="5"/>
    <n v="0"/>
    <n v="15.552000000000001"/>
  </r>
  <r>
    <x v="57"/>
    <x v="26"/>
    <d v="2016-06-17T00:00:00"/>
    <s v="6"/>
    <x v="0"/>
    <s v="601802016"/>
    <x v="2"/>
    <s v="TB-21055"/>
    <x v="26"/>
    <x v="0"/>
    <x v="21"/>
    <x v="21"/>
    <x v="15"/>
    <n v="12180"/>
    <x v="3"/>
    <s v="FUR-CH-10003968"/>
    <x v="0"/>
    <x v="1"/>
    <x v="56"/>
    <x v="57"/>
    <n v="5"/>
    <n v="0.1"/>
    <n v="7.0980000000000061"/>
  </r>
  <r>
    <x v="58"/>
    <x v="26"/>
    <d v="2016-06-17T00:00:00"/>
    <s v="6"/>
    <x v="0"/>
    <s v="601802016"/>
    <x v="2"/>
    <s v="TB-21055"/>
    <x v="26"/>
    <x v="0"/>
    <x v="21"/>
    <x v="21"/>
    <x v="15"/>
    <n v="12180"/>
    <x v="3"/>
    <s v="OFF-PA-10000587"/>
    <x v="1"/>
    <x v="10"/>
    <x v="57"/>
    <x v="58"/>
    <n v="2"/>
    <n v="0"/>
    <n v="6.9888000000000003"/>
  </r>
  <r>
    <x v="59"/>
    <x v="26"/>
    <d v="2016-06-17T00:00:00"/>
    <s v="6"/>
    <x v="0"/>
    <s v="601802016"/>
    <x v="2"/>
    <s v="TB-21055"/>
    <x v="26"/>
    <x v="0"/>
    <x v="21"/>
    <x v="21"/>
    <x v="15"/>
    <n v="12180"/>
    <x v="3"/>
    <s v="TEC-AC-10002167"/>
    <x v="2"/>
    <x v="11"/>
    <x v="46"/>
    <x v="59"/>
    <n v="2"/>
    <n v="0"/>
    <n v="3.3000000000000007"/>
  </r>
  <r>
    <x v="60"/>
    <x v="26"/>
    <d v="2016-06-17T00:00:00"/>
    <s v="6"/>
    <x v="0"/>
    <s v="601802016"/>
    <x v="2"/>
    <s v="TB-21055"/>
    <x v="26"/>
    <x v="0"/>
    <x v="21"/>
    <x v="21"/>
    <x v="15"/>
    <n v="12180"/>
    <x v="3"/>
    <s v="OFF-BI-10001460"/>
    <x v="1"/>
    <x v="8"/>
    <x v="58"/>
    <x v="60"/>
    <n v="4"/>
    <n v="0.2"/>
    <n v="16.361999999999998"/>
  </r>
  <r>
    <x v="61"/>
    <x v="26"/>
    <d v="2016-06-17T00:00:00"/>
    <s v="6"/>
    <x v="0"/>
    <s v="601802016"/>
    <x v="2"/>
    <s v="TB-21055"/>
    <x v="26"/>
    <x v="0"/>
    <x v="21"/>
    <x v="21"/>
    <x v="15"/>
    <n v="12180"/>
    <x v="3"/>
    <s v="OFF-AR-10001868"/>
    <x v="1"/>
    <x v="6"/>
    <x v="59"/>
    <x v="61"/>
    <n v="1"/>
    <n v="0"/>
    <n v="0.84"/>
  </r>
  <r>
    <x v="62"/>
    <x v="27"/>
    <d v="2015-11-24T00:00:00"/>
    <s v="11"/>
    <x v="1"/>
    <s v="1103002015"/>
    <x v="1"/>
    <s v="KM-16720"/>
    <x v="27"/>
    <x v="0"/>
    <x v="1"/>
    <x v="1"/>
    <x v="1"/>
    <n v="90004"/>
    <x v="1"/>
    <s v="TEC-AC-10004633"/>
    <x v="2"/>
    <x v="11"/>
    <x v="60"/>
    <x v="62"/>
    <n v="2"/>
    <n v="0"/>
    <n v="6.1512000000000011"/>
  </r>
  <r>
    <x v="63"/>
    <x v="27"/>
    <d v="2015-11-24T00:00:00"/>
    <s v="11"/>
    <x v="1"/>
    <s v="1103002015"/>
    <x v="1"/>
    <s v="KM-16720"/>
    <x v="27"/>
    <x v="0"/>
    <x v="1"/>
    <x v="1"/>
    <x v="1"/>
    <n v="90004"/>
    <x v="1"/>
    <s v="OFF-BI-10001078"/>
    <x v="1"/>
    <x v="8"/>
    <x v="61"/>
    <x v="63"/>
    <n v="6"/>
    <n v="0.2"/>
    <n v="9.3612000000000002"/>
  </r>
  <r>
    <x v="64"/>
    <x v="27"/>
    <d v="2015-11-24T00:00:00"/>
    <s v="11"/>
    <x v="1"/>
    <s v="1103002015"/>
    <x v="1"/>
    <s v="KM-16720"/>
    <x v="27"/>
    <x v="0"/>
    <x v="1"/>
    <x v="1"/>
    <x v="1"/>
    <n v="90004"/>
    <x v="1"/>
    <s v="OFF-PA-10003892"/>
    <x v="1"/>
    <x v="10"/>
    <x v="62"/>
    <x v="64"/>
    <n v="3"/>
    <n v="0"/>
    <n v="68.963099999999997"/>
  </r>
  <r>
    <x v="65"/>
    <x v="27"/>
    <d v="2015-11-24T00:00:00"/>
    <s v="11"/>
    <x v="1"/>
    <s v="1103002015"/>
    <x v="1"/>
    <s v="KM-16720"/>
    <x v="27"/>
    <x v="0"/>
    <x v="1"/>
    <x v="1"/>
    <x v="1"/>
    <n v="90004"/>
    <x v="1"/>
    <s v="FUR-FU-10000397"/>
    <x v="0"/>
    <x v="5"/>
    <x v="63"/>
    <x v="65"/>
    <n v="4"/>
    <n v="0"/>
    <n v="22.332800000000006"/>
  </r>
  <r>
    <x v="66"/>
    <x v="28"/>
    <d v="2015-04-30T00:00:00"/>
    <s v="5"/>
    <x v="1"/>
    <s v="50502015"/>
    <x v="1"/>
    <s v="PS-18970"/>
    <x v="28"/>
    <x v="2"/>
    <x v="22"/>
    <x v="22"/>
    <x v="10"/>
    <n v="60610"/>
    <x v="2"/>
    <s v="FUR-CH-10001146"/>
    <x v="0"/>
    <x v="1"/>
    <x v="64"/>
    <x v="66"/>
    <n v="5"/>
    <n v="0.3"/>
    <n v="-15.222500000000011"/>
  </r>
  <r>
    <x v="67"/>
    <x v="29"/>
    <d v="2014-12-05T00:00:00"/>
    <s v="12"/>
    <x v="2"/>
    <s v="1201002014"/>
    <x v="1"/>
    <s v="BS-11590"/>
    <x v="29"/>
    <x v="1"/>
    <x v="23"/>
    <x v="23"/>
    <x v="16"/>
    <n v="85234"/>
    <x v="1"/>
    <s v="OFF-AR-10002671"/>
    <x v="1"/>
    <x v="6"/>
    <x v="65"/>
    <x v="67"/>
    <n v="8"/>
    <n v="0.2"/>
    <n v="111.30239999999998"/>
  </r>
  <r>
    <x v="68"/>
    <x v="29"/>
    <d v="2014-12-05T00:00:00"/>
    <s v="12"/>
    <x v="2"/>
    <s v="1201002014"/>
    <x v="1"/>
    <s v="BS-11590"/>
    <x v="29"/>
    <x v="1"/>
    <x v="23"/>
    <x v="23"/>
    <x v="16"/>
    <n v="85234"/>
    <x v="1"/>
    <s v="TEC-PH-10002726"/>
    <x v="2"/>
    <x v="7"/>
    <x v="66"/>
    <x v="68"/>
    <n v="4"/>
    <n v="0.2"/>
    <n v="62.988"/>
  </r>
  <r>
    <x v="69"/>
    <x v="30"/>
    <d v="2016-06-04T00:00:00"/>
    <s v="6"/>
    <x v="0"/>
    <s v="60602016"/>
    <x v="2"/>
    <s v="KD-16270"/>
    <x v="30"/>
    <x v="0"/>
    <x v="24"/>
    <x v="24"/>
    <x v="17"/>
    <n v="22153"/>
    <x v="0"/>
    <s v="OFF-PA-10000482"/>
    <x v="1"/>
    <x v="10"/>
    <x v="67"/>
    <x v="69"/>
    <n v="2"/>
    <n v="0"/>
    <n v="35.663599999999995"/>
  </r>
  <r>
    <x v="70"/>
    <x v="31"/>
    <d v="2016-09-18T00:00:00"/>
    <s v="9"/>
    <x v="0"/>
    <s v="902302016"/>
    <x v="1"/>
    <s v="HM-14980"/>
    <x v="31"/>
    <x v="0"/>
    <x v="20"/>
    <x v="20"/>
    <x v="15"/>
    <n v="10009"/>
    <x v="3"/>
    <s v="OFF-BI-10004654"/>
    <x v="1"/>
    <x v="8"/>
    <x v="68"/>
    <x v="70"/>
    <n v="1"/>
    <n v="0.2"/>
    <n v="1.7309999999999999"/>
  </r>
  <r>
    <x v="71"/>
    <x v="32"/>
    <d v="2017-09-14T00:00:00"/>
    <s v="9"/>
    <x v="3"/>
    <s v="901702017"/>
    <x v="0"/>
    <s v="TB-21520"/>
    <x v="14"/>
    <x v="0"/>
    <x v="25"/>
    <x v="25"/>
    <x v="12"/>
    <n v="49201"/>
    <x v="2"/>
    <s v="OFF-PA-10004675"/>
    <x v="1"/>
    <x v="10"/>
    <x v="69"/>
    <x v="71"/>
    <n v="3"/>
    <n v="0"/>
    <n v="8.7629999999999999"/>
  </r>
  <r>
    <x v="72"/>
    <x v="33"/>
    <d v="2015-04-26T00:00:00"/>
    <s v="5"/>
    <x v="1"/>
    <s v="50202015"/>
    <x v="1"/>
    <s v="JE-15745"/>
    <x v="32"/>
    <x v="0"/>
    <x v="26"/>
    <x v="26"/>
    <x v="18"/>
    <n v="38109"/>
    <x v="0"/>
    <s v="FUR-CH-10000513"/>
    <x v="0"/>
    <x v="1"/>
    <x v="70"/>
    <x v="72"/>
    <n v="8"/>
    <n v="0.2"/>
    <n v="-114.39120000000003"/>
  </r>
  <r>
    <x v="73"/>
    <x v="33"/>
    <d v="2015-04-26T00:00:00"/>
    <s v="5"/>
    <x v="1"/>
    <s v="50202015"/>
    <x v="1"/>
    <s v="JE-15745"/>
    <x v="32"/>
    <x v="0"/>
    <x v="26"/>
    <x v="26"/>
    <x v="18"/>
    <n v="38109"/>
    <x v="0"/>
    <s v="FUR-FU-10003708"/>
    <x v="0"/>
    <x v="5"/>
    <x v="71"/>
    <x v="73"/>
    <n v="2"/>
    <n v="0.2"/>
    <n v="1.2129999999999974"/>
  </r>
  <r>
    <x v="74"/>
    <x v="33"/>
    <d v="2015-04-26T00:00:00"/>
    <s v="5"/>
    <x v="1"/>
    <s v="50202015"/>
    <x v="1"/>
    <s v="JE-15745"/>
    <x v="32"/>
    <x v="0"/>
    <x v="26"/>
    <x v="26"/>
    <x v="18"/>
    <n v="38109"/>
    <x v="0"/>
    <s v="OFF-ST-10004123"/>
    <x v="1"/>
    <x v="4"/>
    <x v="72"/>
    <x v="74"/>
    <n v="1"/>
    <n v="0.2"/>
    <n v="-18.196000000000002"/>
  </r>
  <r>
    <x v="75"/>
    <x v="34"/>
    <d v="2017-12-09T00:00:00"/>
    <s v="12"/>
    <x v="3"/>
    <s v="1201102017"/>
    <x v="2"/>
    <s v="KB-16600"/>
    <x v="33"/>
    <x v="1"/>
    <x v="12"/>
    <x v="12"/>
    <x v="5"/>
    <n v="77041"/>
    <x v="2"/>
    <s v="OFF-BI-10004182"/>
    <x v="1"/>
    <x v="8"/>
    <x v="73"/>
    <x v="75"/>
    <n v="3"/>
    <n v="0.8"/>
    <n v="-1.9344000000000006"/>
  </r>
  <r>
    <x v="76"/>
    <x v="34"/>
    <d v="2017-12-09T00:00:00"/>
    <s v="12"/>
    <x v="3"/>
    <s v="1201102017"/>
    <x v="2"/>
    <s v="KB-16600"/>
    <x v="33"/>
    <x v="1"/>
    <x v="12"/>
    <x v="12"/>
    <x v="5"/>
    <n v="77041"/>
    <x v="2"/>
    <s v="FUR-FU-10000260"/>
    <x v="0"/>
    <x v="5"/>
    <x v="74"/>
    <x v="76"/>
    <n v="3"/>
    <n v="0.6"/>
    <n v="-5.8248000000000015"/>
  </r>
  <r>
    <x v="77"/>
    <x v="34"/>
    <d v="2017-12-09T00:00:00"/>
    <s v="12"/>
    <x v="3"/>
    <s v="1201102017"/>
    <x v="2"/>
    <s v="KB-16600"/>
    <x v="33"/>
    <x v="1"/>
    <x v="12"/>
    <x v="12"/>
    <x v="5"/>
    <n v="77041"/>
    <x v="2"/>
    <s v="OFF-ST-10000615"/>
    <x v="1"/>
    <x v="4"/>
    <x v="75"/>
    <x v="77"/>
    <n v="3"/>
    <n v="0.2"/>
    <n v="2.724000000000002"/>
  </r>
  <r>
    <x v="78"/>
    <x v="35"/>
    <d v="2014-11-26T00:00:00"/>
    <s v="12"/>
    <x v="2"/>
    <s v="120102014"/>
    <x v="0"/>
    <s v="JE-15745"/>
    <x v="32"/>
    <x v="0"/>
    <x v="12"/>
    <x v="12"/>
    <x v="5"/>
    <n v="77070"/>
    <x v="2"/>
    <s v="FUR-FU-10003194"/>
    <x v="0"/>
    <x v="5"/>
    <x v="76"/>
    <x v="78"/>
    <n v="5"/>
    <n v="0.6"/>
    <n v="-14.475000000000001"/>
  </r>
  <r>
    <x v="79"/>
    <x v="36"/>
    <d v="2016-06-12T00:00:00"/>
    <s v="6"/>
    <x v="0"/>
    <s v="601502016"/>
    <x v="2"/>
    <s v="SC-20770"/>
    <x v="34"/>
    <x v="1"/>
    <x v="27"/>
    <x v="27"/>
    <x v="19"/>
    <n v="35601"/>
    <x v="0"/>
    <s v="OFF-AP-10002118"/>
    <x v="1"/>
    <x v="9"/>
    <x v="77"/>
    <x v="79"/>
    <n v="1"/>
    <n v="0"/>
    <n v="56.20320000000001"/>
  </r>
  <r>
    <x v="80"/>
    <x v="36"/>
    <d v="2016-06-12T00:00:00"/>
    <s v="6"/>
    <x v="0"/>
    <s v="601502016"/>
    <x v="2"/>
    <s v="SC-20770"/>
    <x v="34"/>
    <x v="1"/>
    <x v="27"/>
    <x v="27"/>
    <x v="19"/>
    <n v="35601"/>
    <x v="0"/>
    <s v="OFF-BI-10002309"/>
    <x v="1"/>
    <x v="8"/>
    <x v="78"/>
    <x v="80"/>
    <n v="3"/>
    <n v="0"/>
    <n v="8.0351999999999997"/>
  </r>
  <r>
    <x v="81"/>
    <x v="37"/>
    <d v="2014-10-12T00:00:00"/>
    <s v="1"/>
    <x v="2"/>
    <s v="1001602014"/>
    <x v="1"/>
    <s v="DN-13690"/>
    <x v="35"/>
    <x v="0"/>
    <x v="8"/>
    <x v="8"/>
    <x v="1"/>
    <n v="94122"/>
    <x v="1"/>
    <s v="OFF-AR-10002053"/>
    <x v="1"/>
    <x v="6"/>
    <x v="79"/>
    <x v="81"/>
    <n v="5"/>
    <n v="0"/>
    <n v="4.1720000000000006"/>
  </r>
  <r>
    <x v="82"/>
    <x v="37"/>
    <d v="2014-10-12T00:00:00"/>
    <s v="1"/>
    <x v="2"/>
    <s v="1001602014"/>
    <x v="1"/>
    <s v="DN-13690"/>
    <x v="35"/>
    <x v="0"/>
    <x v="8"/>
    <x v="8"/>
    <x v="1"/>
    <n v="94122"/>
    <x v="1"/>
    <s v="OFF-ST-10002370"/>
    <x v="1"/>
    <x v="4"/>
    <x v="80"/>
    <x v="82"/>
    <n v="1"/>
    <n v="0"/>
    <n v="6.2030999999999992"/>
  </r>
  <r>
    <x v="83"/>
    <x v="38"/>
    <d v="2015-09-03T00:00:00"/>
    <s v="9"/>
    <x v="1"/>
    <s v="90802015"/>
    <x v="1"/>
    <s v="JC-16105"/>
    <x v="36"/>
    <x v="1"/>
    <x v="28"/>
    <x v="28"/>
    <x v="3"/>
    <n v="27707"/>
    <x v="0"/>
    <s v="OFF-EN-10000927"/>
    <x v="1"/>
    <x v="12"/>
    <x v="81"/>
    <x v="83"/>
    <n v="7"/>
    <n v="0.2"/>
    <n v="62.807499999999976"/>
  </r>
  <r>
    <x v="84"/>
    <x v="39"/>
    <d v="2017-11-13T00:00:00"/>
    <s v="11"/>
    <x v="3"/>
    <s v="1101602017"/>
    <x v="2"/>
    <s v="CS-12400"/>
    <x v="37"/>
    <x v="2"/>
    <x v="22"/>
    <x v="22"/>
    <x v="10"/>
    <n v="60623"/>
    <x v="2"/>
    <s v="OFF-ST-10003656"/>
    <x v="1"/>
    <x v="4"/>
    <x v="82"/>
    <x v="84"/>
    <n v="3"/>
    <n v="0.2"/>
    <n v="-48.954900000000002"/>
  </r>
  <r>
    <x v="85"/>
    <x v="40"/>
    <d v="2017-05-28T00:00:00"/>
    <s v="5"/>
    <x v="3"/>
    <s v="503002017"/>
    <x v="0"/>
    <s v="PO-18865"/>
    <x v="22"/>
    <x v="0"/>
    <x v="29"/>
    <x v="29"/>
    <x v="20"/>
    <n v="29203"/>
    <x v="0"/>
    <s v="FUR-CH-10000863"/>
    <x v="0"/>
    <x v="1"/>
    <x v="83"/>
    <x v="85"/>
    <n v="2"/>
    <n v="0"/>
    <n v="33.215599999999995"/>
  </r>
  <r>
    <x v="86"/>
    <x v="41"/>
    <d v="2017-10-26T00:00:00"/>
    <s v="11"/>
    <x v="3"/>
    <s v="110202017"/>
    <x v="1"/>
    <s v="PG-18895"/>
    <x v="38"/>
    <x v="0"/>
    <x v="30"/>
    <x v="30"/>
    <x v="11"/>
    <n v="55901"/>
    <x v="2"/>
    <s v="TEC-AC-10001998"/>
    <x v="2"/>
    <x v="11"/>
    <x v="84"/>
    <x v="86"/>
    <n v="1"/>
    <n v="0"/>
    <n v="6.796599999999998"/>
  </r>
  <r>
    <x v="87"/>
    <x v="41"/>
    <d v="2017-10-26T00:00:00"/>
    <s v="11"/>
    <x v="3"/>
    <s v="110202017"/>
    <x v="1"/>
    <s v="PG-18895"/>
    <x v="38"/>
    <x v="0"/>
    <x v="30"/>
    <x v="30"/>
    <x v="11"/>
    <n v="55901"/>
    <x v="2"/>
    <s v="OFF-LA-10000134"/>
    <x v="1"/>
    <x v="2"/>
    <x v="85"/>
    <x v="51"/>
    <n v="2"/>
    <n v="0"/>
    <n v="2.9567999999999999"/>
  </r>
  <r>
    <x v="88"/>
    <x v="42"/>
    <d v="2016-04-05T00:00:00"/>
    <s v="4"/>
    <x v="0"/>
    <s v="401002016"/>
    <x v="0"/>
    <s v="GM-14455"/>
    <x v="39"/>
    <x v="2"/>
    <x v="12"/>
    <x v="12"/>
    <x v="5"/>
    <n v="77095"/>
    <x v="2"/>
    <s v="OFF-ST-10003442"/>
    <x v="1"/>
    <x v="4"/>
    <x v="86"/>
    <x v="87"/>
    <n v="7"/>
    <n v="0.2"/>
    <n v="13.857199999999999"/>
  </r>
  <r>
    <x v="89"/>
    <x v="43"/>
    <d v="2016-09-17T00:00:00"/>
    <s v="9"/>
    <x v="0"/>
    <s v="902202016"/>
    <x v="1"/>
    <s v="JS-15685"/>
    <x v="40"/>
    <x v="1"/>
    <x v="1"/>
    <x v="1"/>
    <x v="1"/>
    <n v="90036"/>
    <x v="1"/>
    <s v="OFF-AR-10004930"/>
    <x v="1"/>
    <x v="6"/>
    <x v="87"/>
    <x v="88"/>
    <n v="3"/>
    <n v="0"/>
    <n v="6.6329999999999982"/>
  </r>
  <r>
    <x v="90"/>
    <x v="43"/>
    <d v="2016-09-17T00:00:00"/>
    <s v="9"/>
    <x v="0"/>
    <s v="902202016"/>
    <x v="1"/>
    <s v="JS-15685"/>
    <x v="40"/>
    <x v="1"/>
    <x v="1"/>
    <x v="1"/>
    <x v="1"/>
    <n v="90036"/>
    <x v="1"/>
    <s v="TEC-PH-10004093"/>
    <x v="2"/>
    <x v="7"/>
    <x v="40"/>
    <x v="89"/>
    <n v="2"/>
    <n v="0.2"/>
    <n v="8.2781999999999982"/>
  </r>
  <r>
    <x v="91"/>
    <x v="43"/>
    <d v="2016-09-17T00:00:00"/>
    <s v="9"/>
    <x v="0"/>
    <s v="902202016"/>
    <x v="1"/>
    <s v="JS-15685"/>
    <x v="40"/>
    <x v="1"/>
    <x v="1"/>
    <x v="1"/>
    <x v="1"/>
    <n v="90036"/>
    <x v="1"/>
    <s v="OFF-PA-10000304"/>
    <x v="1"/>
    <x v="10"/>
    <x v="88"/>
    <x v="90"/>
    <n v="1"/>
    <n v="0"/>
    <n v="3.1104000000000003"/>
  </r>
  <r>
    <x v="92"/>
    <x v="44"/>
    <d v="2015-01-31T00:00:00"/>
    <s v="2"/>
    <x v="1"/>
    <s v="20502015"/>
    <x v="0"/>
    <s v="KB-16315"/>
    <x v="41"/>
    <x v="0"/>
    <x v="31"/>
    <x v="31"/>
    <x v="11"/>
    <n v="55407"/>
    <x v="2"/>
    <s v="OFF-PA-10003177"/>
    <x v="1"/>
    <x v="10"/>
    <x v="89"/>
    <x v="91"/>
    <n v="2"/>
    <n v="0"/>
    <n v="6.2208000000000006"/>
  </r>
  <r>
    <x v="93"/>
    <x v="44"/>
    <d v="2015-01-31T00:00:00"/>
    <s v="2"/>
    <x v="1"/>
    <s v="20502015"/>
    <x v="0"/>
    <s v="KB-16315"/>
    <x v="41"/>
    <x v="0"/>
    <x v="31"/>
    <x v="31"/>
    <x v="11"/>
    <n v="55407"/>
    <x v="2"/>
    <s v="FUR-FU-10003799"/>
    <x v="0"/>
    <x v="5"/>
    <x v="90"/>
    <x v="92"/>
    <n v="3"/>
    <n v="0"/>
    <n v="16.535399999999996"/>
  </r>
  <r>
    <x v="94"/>
    <x v="44"/>
    <d v="2015-01-31T00:00:00"/>
    <s v="2"/>
    <x v="1"/>
    <s v="20502015"/>
    <x v="0"/>
    <s v="KB-16315"/>
    <x v="41"/>
    <x v="0"/>
    <x v="31"/>
    <x v="31"/>
    <x v="11"/>
    <n v="55407"/>
    <x v="2"/>
    <s v="OFF-BI-10002852"/>
    <x v="1"/>
    <x v="8"/>
    <x v="91"/>
    <x v="93"/>
    <n v="2"/>
    <n v="0"/>
    <n v="16.150400000000001"/>
  </r>
  <r>
    <x v="95"/>
    <x v="45"/>
    <d v="2017-11-06T00:00:00"/>
    <s v="11"/>
    <x v="3"/>
    <s v="1101202017"/>
    <x v="1"/>
    <s v="RB-19705"/>
    <x v="42"/>
    <x v="2"/>
    <x v="32"/>
    <x v="32"/>
    <x v="21"/>
    <n v="97206"/>
    <x v="1"/>
    <s v="OFF-BI-10004738"/>
    <x v="1"/>
    <x v="8"/>
    <x v="92"/>
    <x v="94"/>
    <n v="1"/>
    <n v="0.7"/>
    <n v="-3.7880000000000003"/>
  </r>
  <r>
    <x v="96"/>
    <x v="46"/>
    <d v="2017-11-09T00:00:00"/>
    <s v="11"/>
    <x v="3"/>
    <s v="1101102017"/>
    <x v="0"/>
    <s v="PN-18775"/>
    <x v="43"/>
    <x v="2"/>
    <x v="20"/>
    <x v="20"/>
    <x v="15"/>
    <n v="10009"/>
    <x v="3"/>
    <s v="FUR-FU-10000629"/>
    <x v="0"/>
    <x v="5"/>
    <x v="93"/>
    <x v="95"/>
    <n v="7"/>
    <n v="0"/>
    <n v="40.5426"/>
  </r>
  <r>
    <x v="97"/>
    <x v="47"/>
    <d v="2017-06-17T00:00:00"/>
    <s v="6"/>
    <x v="3"/>
    <s v="602002017"/>
    <x v="2"/>
    <s v="KD-16345"/>
    <x v="44"/>
    <x v="0"/>
    <x v="8"/>
    <x v="8"/>
    <x v="1"/>
    <n v="94122"/>
    <x v="1"/>
    <s v="OFF-BI-10001721"/>
    <x v="1"/>
    <x v="8"/>
    <x v="94"/>
    <x v="96"/>
    <n v="3"/>
    <n v="0.2"/>
    <n v="17.959199999999999"/>
  </r>
  <r>
    <x v="98"/>
    <x v="48"/>
    <d v="2016-09-06T00:00:00"/>
    <s v="9"/>
    <x v="0"/>
    <s v="901102016"/>
    <x v="1"/>
    <s v="ER-13855"/>
    <x v="45"/>
    <x v="1"/>
    <x v="33"/>
    <x v="33"/>
    <x v="11"/>
    <n v="55106"/>
    <x v="2"/>
    <s v="OFF-AP-10000358"/>
    <x v="1"/>
    <x v="9"/>
    <x v="95"/>
    <x v="42"/>
    <n v="6"/>
    <n v="0"/>
    <n v="22.585199999999993"/>
  </r>
  <r>
    <x v="99"/>
    <x v="49"/>
    <d v="2016-08-29T00:00:00"/>
    <s v="9"/>
    <x v="0"/>
    <s v="90202016"/>
    <x v="1"/>
    <s v="RB-19465"/>
    <x v="46"/>
    <x v="2"/>
    <x v="22"/>
    <x v="22"/>
    <x v="10"/>
    <n v="60610"/>
    <x v="2"/>
    <s v="OFF-PA-10003256"/>
    <x v="1"/>
    <x v="10"/>
    <x v="96"/>
    <x v="97"/>
    <n v="7"/>
    <n v="0.2"/>
    <n v="22.618399999999994"/>
  </r>
  <r>
    <x v="100"/>
    <x v="49"/>
    <d v="2016-08-29T00:00:00"/>
    <s v="9"/>
    <x v="0"/>
    <s v="90202016"/>
    <x v="1"/>
    <s v="RB-19465"/>
    <x v="46"/>
    <x v="2"/>
    <x v="22"/>
    <x v="22"/>
    <x v="10"/>
    <n v="60610"/>
    <x v="2"/>
    <s v="TEC-AC-10001767"/>
    <x v="2"/>
    <x v="11"/>
    <x v="97"/>
    <x v="98"/>
    <n v="3"/>
    <n v="0.2"/>
    <n v="-10.797300000000011"/>
  </r>
  <r>
    <x v="101"/>
    <x v="49"/>
    <d v="2016-08-29T00:00:00"/>
    <s v="9"/>
    <x v="0"/>
    <s v="90202016"/>
    <x v="1"/>
    <s v="RB-19465"/>
    <x v="46"/>
    <x v="2"/>
    <x v="22"/>
    <x v="22"/>
    <x v="10"/>
    <n v="60610"/>
    <x v="2"/>
    <s v="OFF-BI-10002609"/>
    <x v="1"/>
    <x v="8"/>
    <x v="98"/>
    <x v="99"/>
    <n v="3"/>
    <n v="0.8"/>
    <n v="-3.0396000000000001"/>
  </r>
  <r>
    <x v="102"/>
    <x v="50"/>
    <d v="2016-12-01T00:00:00"/>
    <s v="12"/>
    <x v="0"/>
    <s v="120402016"/>
    <x v="0"/>
    <s v="GZ-14470"/>
    <x v="47"/>
    <x v="0"/>
    <x v="30"/>
    <x v="30"/>
    <x v="11"/>
    <n v="55901"/>
    <x v="2"/>
    <s v="OFF-PA-10004040"/>
    <x v="1"/>
    <x v="10"/>
    <x v="99"/>
    <x v="100"/>
    <n v="4"/>
    <n v="0"/>
    <n v="11.720800000000001"/>
  </r>
  <r>
    <x v="103"/>
    <x v="51"/>
    <d v="2015-11-13T00:00:00"/>
    <s v="11"/>
    <x v="1"/>
    <s v="1101702015"/>
    <x v="1"/>
    <s v="LC-16870"/>
    <x v="48"/>
    <x v="0"/>
    <x v="34"/>
    <x v="34"/>
    <x v="22"/>
    <n v="80013"/>
    <x v="1"/>
    <s v="TEC-AC-10001552"/>
    <x v="2"/>
    <x v="11"/>
    <x v="100"/>
    <x v="101"/>
    <n v="6"/>
    <n v="0.2"/>
    <n v="-26.875800000000012"/>
  </r>
  <r>
    <x v="104"/>
    <x v="51"/>
    <d v="2015-11-13T00:00:00"/>
    <s v="11"/>
    <x v="1"/>
    <s v="1101702015"/>
    <x v="1"/>
    <s v="LC-16870"/>
    <x v="48"/>
    <x v="0"/>
    <x v="34"/>
    <x v="34"/>
    <x v="22"/>
    <n v="80013"/>
    <x v="1"/>
    <s v="FUR-FU-10004006"/>
    <x v="0"/>
    <x v="5"/>
    <x v="101"/>
    <x v="102"/>
    <n v="3"/>
    <n v="0.2"/>
    <n v="-3.8385000000000105"/>
  </r>
  <r>
    <x v="105"/>
    <x v="51"/>
    <d v="2015-11-13T00:00:00"/>
    <s v="11"/>
    <x v="1"/>
    <s v="1101702015"/>
    <x v="1"/>
    <s v="LC-16870"/>
    <x v="48"/>
    <x v="0"/>
    <x v="34"/>
    <x v="34"/>
    <x v="22"/>
    <n v="80013"/>
    <x v="1"/>
    <s v="OFF-BI-10002794"/>
    <x v="1"/>
    <x v="8"/>
    <x v="102"/>
    <x v="103"/>
    <n v="3"/>
    <n v="0.7"/>
    <n v="-25.817399999999999"/>
  </r>
  <r>
    <x v="106"/>
    <x v="52"/>
    <d v="2017-11-23T00:00:00"/>
    <s v="11"/>
    <x v="3"/>
    <s v="1102802017"/>
    <x v="1"/>
    <s v="JM-15250"/>
    <x v="49"/>
    <x v="0"/>
    <x v="35"/>
    <x v="35"/>
    <x v="3"/>
    <n v="28205"/>
    <x v="0"/>
    <s v="TEC-AC-10003499"/>
    <x v="2"/>
    <x v="11"/>
    <x v="103"/>
    <x v="104"/>
    <n v="8"/>
    <n v="0.2"/>
    <n v="17.601600000000001"/>
  </r>
  <r>
    <x v="107"/>
    <x v="52"/>
    <d v="2017-11-23T00:00:00"/>
    <s v="11"/>
    <x v="3"/>
    <s v="1102802017"/>
    <x v="1"/>
    <s v="JM-15250"/>
    <x v="49"/>
    <x v="0"/>
    <x v="35"/>
    <x v="35"/>
    <x v="3"/>
    <n v="28205"/>
    <x v="0"/>
    <s v="TEC-PH-10002844"/>
    <x v="2"/>
    <x v="7"/>
    <x v="104"/>
    <x v="105"/>
    <n v="1"/>
    <n v="0.2"/>
    <n v="2.0993999999999993"/>
  </r>
  <r>
    <x v="108"/>
    <x v="52"/>
    <d v="2017-11-23T00:00:00"/>
    <s v="11"/>
    <x v="3"/>
    <s v="1102802017"/>
    <x v="1"/>
    <s v="JM-15250"/>
    <x v="49"/>
    <x v="0"/>
    <x v="35"/>
    <x v="35"/>
    <x v="3"/>
    <n v="28205"/>
    <x v="0"/>
    <s v="OFF-AR-10000390"/>
    <x v="1"/>
    <x v="6"/>
    <x v="105"/>
    <x v="106"/>
    <n v="1"/>
    <n v="0.2"/>
    <n v="1.0737999999999999"/>
  </r>
  <r>
    <x v="109"/>
    <x v="53"/>
    <d v="2015-10-15T00:00:00"/>
    <s v="1"/>
    <x v="1"/>
    <s v="1002002015"/>
    <x v="1"/>
    <s v="PA-19060"/>
    <x v="50"/>
    <x v="2"/>
    <x v="36"/>
    <x v="36"/>
    <x v="10"/>
    <n v="60462"/>
    <x v="2"/>
    <s v="TEC-AC-10000844"/>
    <x v="2"/>
    <x v="11"/>
    <x v="106"/>
    <x v="107"/>
    <n v="5"/>
    <n v="0.2"/>
    <n v="67.991999999999962"/>
  </r>
  <r>
    <x v="110"/>
    <x v="54"/>
    <d v="2017-12-25T00:00:00"/>
    <s v="12"/>
    <x v="3"/>
    <s v="1203002017"/>
    <x v="1"/>
    <s v="CV-12805"/>
    <x v="51"/>
    <x v="1"/>
    <x v="20"/>
    <x v="20"/>
    <x v="15"/>
    <n v="10035"/>
    <x v="3"/>
    <s v="FUR-FU-10001934"/>
    <x v="0"/>
    <x v="5"/>
    <x v="107"/>
    <x v="108"/>
    <n v="2"/>
    <n v="0"/>
    <n v="10.909600000000001"/>
  </r>
  <r>
    <x v="111"/>
    <x v="55"/>
    <d v="2016-11-03T00:00:00"/>
    <s v="11"/>
    <x v="0"/>
    <s v="1101002016"/>
    <x v="1"/>
    <s v="CL-12565"/>
    <x v="52"/>
    <x v="0"/>
    <x v="37"/>
    <x v="37"/>
    <x v="23"/>
    <n v="50322"/>
    <x v="2"/>
    <s v="OFF-AR-10000380"/>
    <x v="1"/>
    <x v="6"/>
    <x v="108"/>
    <x v="109"/>
    <n v="2"/>
    <n v="0"/>
    <n v="22.78799999999999"/>
  </r>
  <r>
    <x v="112"/>
    <x v="55"/>
    <d v="2016-11-03T00:00:00"/>
    <s v="11"/>
    <x v="0"/>
    <s v="1101002016"/>
    <x v="1"/>
    <s v="CL-12565"/>
    <x v="52"/>
    <x v="0"/>
    <x v="37"/>
    <x v="37"/>
    <x v="23"/>
    <n v="50322"/>
    <x v="2"/>
    <s v="OFF-BI-10003981"/>
    <x v="1"/>
    <x v="8"/>
    <x v="109"/>
    <x v="77"/>
    <n v="6"/>
    <n v="0"/>
    <n v="13.3476"/>
  </r>
  <r>
    <x v="113"/>
    <x v="56"/>
    <d v="2014-08-25T00:00:00"/>
    <s v="8"/>
    <x v="2"/>
    <s v="802702014"/>
    <x v="0"/>
    <s v="RC-19960"/>
    <x v="53"/>
    <x v="0"/>
    <x v="38"/>
    <x v="38"/>
    <x v="24"/>
    <n v="43229"/>
    <x v="3"/>
    <s v="OFF-FA-10000621"/>
    <x v="1"/>
    <x v="13"/>
    <x v="110"/>
    <x v="110"/>
    <n v="14"/>
    <n v="0.2"/>
    <n v="14.534799999999997"/>
  </r>
  <r>
    <x v="114"/>
    <x v="56"/>
    <d v="2014-08-25T00:00:00"/>
    <s v="8"/>
    <x v="2"/>
    <s v="802702014"/>
    <x v="0"/>
    <s v="RC-19960"/>
    <x v="53"/>
    <x v="0"/>
    <x v="38"/>
    <x v="38"/>
    <x v="24"/>
    <n v="43229"/>
    <x v="3"/>
    <s v="OFF-EN-10002600"/>
    <x v="1"/>
    <x v="12"/>
    <x v="111"/>
    <x v="111"/>
    <n v="2"/>
    <n v="0.2"/>
    <n v="1.6519999999999997"/>
  </r>
  <r>
    <x v="115"/>
    <x v="56"/>
    <d v="2014-08-25T00:00:00"/>
    <s v="8"/>
    <x v="2"/>
    <s v="802702014"/>
    <x v="0"/>
    <s v="RC-19960"/>
    <x v="53"/>
    <x v="0"/>
    <x v="38"/>
    <x v="38"/>
    <x v="24"/>
    <n v="43229"/>
    <x v="3"/>
    <s v="OFF-PA-10004965"/>
    <x v="1"/>
    <x v="10"/>
    <x v="112"/>
    <x v="112"/>
    <n v="3"/>
    <n v="0.2"/>
    <n v="7.4924999999999988"/>
  </r>
  <r>
    <x v="116"/>
    <x v="56"/>
    <d v="2014-08-25T00:00:00"/>
    <s v="8"/>
    <x v="2"/>
    <s v="802702014"/>
    <x v="0"/>
    <s v="RC-19960"/>
    <x v="53"/>
    <x v="0"/>
    <x v="38"/>
    <x v="38"/>
    <x v="24"/>
    <n v="43229"/>
    <x v="3"/>
    <s v="OFF-EN-10002504"/>
    <x v="1"/>
    <x v="12"/>
    <x v="113"/>
    <x v="113"/>
    <n v="6"/>
    <n v="0.2"/>
    <n v="44.031599999999997"/>
  </r>
  <r>
    <x v="117"/>
    <x v="57"/>
    <d v="2015-03-02T00:00:00"/>
    <s v="3"/>
    <x v="1"/>
    <s v="30602015"/>
    <x v="1"/>
    <s v="DK-13090"/>
    <x v="54"/>
    <x v="0"/>
    <x v="4"/>
    <x v="4"/>
    <x v="4"/>
    <n v="98103"/>
    <x v="1"/>
    <s v="FUR-TA-10001768"/>
    <x v="0"/>
    <x v="3"/>
    <x v="114"/>
    <x v="114"/>
    <n v="3"/>
    <n v="0"/>
    <n v="165.38129999999995"/>
  </r>
  <r>
    <x v="118"/>
    <x v="58"/>
    <d v="2015-04-05T00:00:00"/>
    <s v="4"/>
    <x v="1"/>
    <s v="401002015"/>
    <x v="1"/>
    <s v="GG-14650"/>
    <x v="55"/>
    <x v="1"/>
    <x v="39"/>
    <x v="39"/>
    <x v="18"/>
    <n v="37620"/>
    <x v="0"/>
    <s v="OFF-BI-10003650"/>
    <x v="1"/>
    <x v="8"/>
    <x v="115"/>
    <x v="115"/>
    <n v="1"/>
    <n v="0.7"/>
    <n v="-115.71559999999999"/>
  </r>
  <r>
    <x v="119"/>
    <x v="59"/>
    <d v="2016-06-12T00:00:00"/>
    <s v="6"/>
    <x v="0"/>
    <s v="601502016"/>
    <x v="2"/>
    <s v="SC-20725"/>
    <x v="56"/>
    <x v="0"/>
    <x v="40"/>
    <x v="40"/>
    <x v="13"/>
    <n v="19805"/>
    <x v="3"/>
    <s v="FUR-FU-10002157"/>
    <x v="0"/>
    <x v="5"/>
    <x v="116"/>
    <x v="116"/>
    <n v="3"/>
    <n v="0"/>
    <n v="18.345599999999997"/>
  </r>
  <r>
    <x v="120"/>
    <x v="59"/>
    <d v="2016-06-12T00:00:00"/>
    <s v="6"/>
    <x v="0"/>
    <s v="601502016"/>
    <x v="2"/>
    <s v="SC-20725"/>
    <x v="56"/>
    <x v="0"/>
    <x v="40"/>
    <x v="40"/>
    <x v="13"/>
    <n v="19805"/>
    <x v="3"/>
    <s v="OFF-BI-10003910"/>
    <x v="1"/>
    <x v="8"/>
    <x v="8"/>
    <x v="117"/>
    <n v="4"/>
    <n v="0"/>
    <n v="13.878"/>
  </r>
  <r>
    <x v="121"/>
    <x v="59"/>
    <d v="2016-06-12T00:00:00"/>
    <s v="6"/>
    <x v="0"/>
    <s v="601502016"/>
    <x v="2"/>
    <s v="SC-20725"/>
    <x v="56"/>
    <x v="0"/>
    <x v="40"/>
    <x v="40"/>
    <x v="13"/>
    <n v="19805"/>
    <x v="3"/>
    <s v="OFF-ST-10000777"/>
    <x v="1"/>
    <x v="4"/>
    <x v="117"/>
    <x v="118"/>
    <n v="6"/>
    <n v="0"/>
    <n v="63.436800000000005"/>
  </r>
  <r>
    <x v="122"/>
    <x v="59"/>
    <d v="2016-06-12T00:00:00"/>
    <s v="6"/>
    <x v="0"/>
    <s v="601502016"/>
    <x v="2"/>
    <s v="SC-20725"/>
    <x v="56"/>
    <x v="0"/>
    <x v="40"/>
    <x v="40"/>
    <x v="13"/>
    <n v="19805"/>
    <x v="3"/>
    <s v="OFF-EN-10002500"/>
    <x v="1"/>
    <x v="12"/>
    <x v="118"/>
    <x v="119"/>
    <n v="9"/>
    <n v="0"/>
    <n v="51.758999999999993"/>
  </r>
  <r>
    <x v="123"/>
    <x v="59"/>
    <d v="2016-06-12T00:00:00"/>
    <s v="6"/>
    <x v="0"/>
    <s v="601502016"/>
    <x v="2"/>
    <s v="SC-20725"/>
    <x v="56"/>
    <x v="0"/>
    <x v="40"/>
    <x v="40"/>
    <x v="13"/>
    <n v="19805"/>
    <x v="3"/>
    <s v="TEC-PH-10003875"/>
    <x v="2"/>
    <x v="7"/>
    <x v="119"/>
    <x v="120"/>
    <n v="7"/>
    <n v="0"/>
    <n v="19.731599999999997"/>
  </r>
  <r>
    <x v="124"/>
    <x v="60"/>
    <d v="2014-12-26T00:00:00"/>
    <s v="12"/>
    <x v="2"/>
    <s v="1202802014"/>
    <x v="0"/>
    <s v="AD-10180"/>
    <x v="57"/>
    <x v="2"/>
    <x v="12"/>
    <x v="12"/>
    <x v="5"/>
    <n v="77041"/>
    <x v="2"/>
    <s v="FUR-CH-10004063"/>
    <x v="0"/>
    <x v="1"/>
    <x v="120"/>
    <x v="121"/>
    <n v="3"/>
    <n v="0.3"/>
    <n v="-8.5794000000000779"/>
  </r>
  <r>
    <x v="125"/>
    <x v="61"/>
    <d v="2014-09-20T00:00:00"/>
    <s v="9"/>
    <x v="2"/>
    <s v="902502014"/>
    <x v="1"/>
    <s v="PF-19165"/>
    <x v="58"/>
    <x v="0"/>
    <x v="41"/>
    <x v="41"/>
    <x v="10"/>
    <n v="61701"/>
    <x v="2"/>
    <s v="FUR-TA-10004534"/>
    <x v="0"/>
    <x v="3"/>
    <x v="121"/>
    <x v="122"/>
    <n v="6"/>
    <n v="0.5"/>
    <n v="-407.68200000000013"/>
  </r>
  <r>
    <x v="126"/>
    <x v="62"/>
    <d v="2017-11-05T00:00:00"/>
    <s v="11"/>
    <x v="3"/>
    <s v="1101202017"/>
    <x v="1"/>
    <s v="TS-21610"/>
    <x v="59"/>
    <x v="0"/>
    <x v="42"/>
    <x v="42"/>
    <x v="16"/>
    <n v="85023"/>
    <x v="1"/>
    <s v="OFF-BI-10003274"/>
    <x v="1"/>
    <x v="8"/>
    <x v="122"/>
    <x v="123"/>
    <n v="2"/>
    <n v="0.7"/>
    <n v="-1.8308"/>
  </r>
  <r>
    <x v="127"/>
    <x v="62"/>
    <d v="2017-11-05T00:00:00"/>
    <s v="11"/>
    <x v="3"/>
    <s v="1101202017"/>
    <x v="1"/>
    <s v="TS-21610"/>
    <x v="59"/>
    <x v="0"/>
    <x v="42"/>
    <x v="42"/>
    <x v="16"/>
    <n v="85023"/>
    <x v="1"/>
    <s v="OFF-ST-10002974"/>
    <x v="1"/>
    <x v="4"/>
    <x v="123"/>
    <x v="124"/>
    <n v="7"/>
    <n v="0.2"/>
    <n v="30.498999999999981"/>
  </r>
  <r>
    <x v="128"/>
    <x v="63"/>
    <d v="2016-11-06T00:00:00"/>
    <s v="11"/>
    <x v="0"/>
    <s v="1101002016"/>
    <x v="0"/>
    <s v="LS-16975"/>
    <x v="60"/>
    <x v="2"/>
    <x v="1"/>
    <x v="1"/>
    <x v="1"/>
    <n v="90004"/>
    <x v="1"/>
    <s v="FUR-CH-10001146"/>
    <x v="0"/>
    <x v="1"/>
    <x v="124"/>
    <x v="125"/>
    <n v="2"/>
    <n v="0.2"/>
    <n v="-9.1601999999999961"/>
  </r>
  <r>
    <x v="129"/>
    <x v="63"/>
    <d v="2016-11-06T00:00:00"/>
    <s v="11"/>
    <x v="0"/>
    <s v="1101002016"/>
    <x v="0"/>
    <s v="LS-16975"/>
    <x v="60"/>
    <x v="2"/>
    <x v="1"/>
    <x v="1"/>
    <x v="1"/>
    <n v="90004"/>
    <x v="1"/>
    <s v="FUR-FU-10003773"/>
    <x v="0"/>
    <x v="5"/>
    <x v="125"/>
    <x v="126"/>
    <n v="3"/>
    <n v="0"/>
    <n v="26.241599999999977"/>
  </r>
  <r>
    <x v="130"/>
    <x v="64"/>
    <d v="2017-02-02T00:00:00"/>
    <s v="2"/>
    <x v="3"/>
    <s v="20502017"/>
    <x v="2"/>
    <s v="DW-13585"/>
    <x v="61"/>
    <x v="1"/>
    <x v="38"/>
    <x v="38"/>
    <x v="24"/>
    <n v="43229"/>
    <x v="3"/>
    <s v="TEC-PH-10002293"/>
    <x v="2"/>
    <x v="7"/>
    <x v="126"/>
    <x v="127"/>
    <n v="5"/>
    <n v="0.4"/>
    <n v="-11.993999999999993"/>
  </r>
  <r>
    <x v="131"/>
    <x v="64"/>
    <d v="2017-02-02T00:00:00"/>
    <s v="2"/>
    <x v="3"/>
    <s v="20502017"/>
    <x v="2"/>
    <s v="DW-13585"/>
    <x v="61"/>
    <x v="1"/>
    <x v="38"/>
    <x v="38"/>
    <x v="24"/>
    <n v="43229"/>
    <x v="3"/>
    <s v="OFF-PA-10002377"/>
    <x v="1"/>
    <x v="10"/>
    <x v="127"/>
    <x v="128"/>
    <n v="2"/>
    <n v="0.2"/>
    <n v="29.363999999999997"/>
  </r>
  <r>
    <x v="132"/>
    <x v="64"/>
    <d v="2017-02-02T00:00:00"/>
    <s v="2"/>
    <x v="3"/>
    <s v="20502017"/>
    <x v="2"/>
    <s v="DW-13585"/>
    <x v="61"/>
    <x v="1"/>
    <x v="38"/>
    <x v="38"/>
    <x v="24"/>
    <n v="43229"/>
    <x v="3"/>
    <s v="OFF-FA-10002780"/>
    <x v="1"/>
    <x v="13"/>
    <x v="128"/>
    <x v="129"/>
    <n v="9"/>
    <n v="0.2"/>
    <n v="6.9731999999999976"/>
  </r>
  <r>
    <x v="133"/>
    <x v="65"/>
    <d v="2016-10-13T00:00:00"/>
    <s v="1"/>
    <x v="0"/>
    <s v="1001902016"/>
    <x v="1"/>
    <s v="LC-16885"/>
    <x v="62"/>
    <x v="0"/>
    <x v="43"/>
    <x v="43"/>
    <x v="1"/>
    <n v="95661"/>
    <x v="1"/>
    <s v="OFF-PA-10001804"/>
    <x v="1"/>
    <x v="10"/>
    <x v="129"/>
    <x v="130"/>
    <n v="3"/>
    <n v="0"/>
    <n v="9.6191999999999993"/>
  </r>
  <r>
    <x v="134"/>
    <x v="65"/>
    <d v="2016-10-13T00:00:00"/>
    <s v="1"/>
    <x v="0"/>
    <s v="1001902016"/>
    <x v="1"/>
    <s v="LC-16885"/>
    <x v="62"/>
    <x v="0"/>
    <x v="43"/>
    <x v="43"/>
    <x v="1"/>
    <n v="95661"/>
    <x v="1"/>
    <s v="OFF-PA-10001736"/>
    <x v="1"/>
    <x v="10"/>
    <x v="130"/>
    <x v="131"/>
    <n v="1"/>
    <n v="0"/>
    <n v="16.656799999999997"/>
  </r>
  <r>
    <x v="135"/>
    <x v="65"/>
    <d v="2016-10-13T00:00:00"/>
    <s v="1"/>
    <x v="0"/>
    <s v="1001902016"/>
    <x v="1"/>
    <s v="LC-16885"/>
    <x v="62"/>
    <x v="0"/>
    <x v="43"/>
    <x v="43"/>
    <x v="1"/>
    <n v="95661"/>
    <x v="1"/>
    <s v="OFF-AR-10001149"/>
    <x v="1"/>
    <x v="6"/>
    <x v="131"/>
    <x v="132"/>
    <n v="4"/>
    <n v="0"/>
    <n v="3.4559999999999995"/>
  </r>
  <r>
    <x v="136"/>
    <x v="65"/>
    <d v="2016-10-13T00:00:00"/>
    <s v="1"/>
    <x v="0"/>
    <s v="1001902016"/>
    <x v="1"/>
    <s v="LC-16885"/>
    <x v="62"/>
    <x v="0"/>
    <x v="43"/>
    <x v="43"/>
    <x v="1"/>
    <n v="95661"/>
    <x v="1"/>
    <s v="OFF-FA-10002988"/>
    <x v="1"/>
    <x v="13"/>
    <x v="132"/>
    <x v="133"/>
    <n v="2"/>
    <n v="0"/>
    <n v="1.9697999999999998"/>
  </r>
  <r>
    <x v="137"/>
    <x v="65"/>
    <d v="2016-10-13T00:00:00"/>
    <s v="1"/>
    <x v="0"/>
    <s v="1001902016"/>
    <x v="1"/>
    <s v="LC-16885"/>
    <x v="62"/>
    <x v="0"/>
    <x v="43"/>
    <x v="43"/>
    <x v="1"/>
    <n v="95661"/>
    <x v="1"/>
    <s v="OFF-BI-10004781"/>
    <x v="1"/>
    <x v="8"/>
    <x v="133"/>
    <x v="134"/>
    <n v="3"/>
    <n v="0.2"/>
    <n v="26.661599999999996"/>
  </r>
  <r>
    <x v="138"/>
    <x v="65"/>
    <d v="2016-10-13T00:00:00"/>
    <s v="1"/>
    <x v="0"/>
    <s v="1001902016"/>
    <x v="1"/>
    <s v="LC-16885"/>
    <x v="62"/>
    <x v="0"/>
    <x v="43"/>
    <x v="43"/>
    <x v="1"/>
    <n v="95661"/>
    <x v="1"/>
    <s v="OFF-SU-10001218"/>
    <x v="1"/>
    <x v="14"/>
    <x v="134"/>
    <x v="135"/>
    <n v="6"/>
    <n v="0"/>
    <n v="18.446400000000004"/>
  </r>
  <r>
    <x v="139"/>
    <x v="65"/>
    <d v="2016-10-13T00:00:00"/>
    <s v="1"/>
    <x v="0"/>
    <s v="1001902016"/>
    <x v="1"/>
    <s v="LC-16885"/>
    <x v="62"/>
    <x v="0"/>
    <x v="43"/>
    <x v="43"/>
    <x v="1"/>
    <n v="95661"/>
    <x v="1"/>
    <s v="FUR-FU-10001706"/>
    <x v="0"/>
    <x v="5"/>
    <x v="50"/>
    <x v="136"/>
    <n v="14"/>
    <n v="0"/>
    <n v="20.697599999999998"/>
  </r>
  <r>
    <x v="140"/>
    <x v="66"/>
    <d v="2016-09-05T00:00:00"/>
    <s v="9"/>
    <x v="0"/>
    <s v="90702016"/>
    <x v="0"/>
    <s v="JD-15895"/>
    <x v="63"/>
    <x v="1"/>
    <x v="10"/>
    <x v="10"/>
    <x v="9"/>
    <n v="19140"/>
    <x v="3"/>
    <s v="FUR-FU-10004848"/>
    <x v="0"/>
    <x v="5"/>
    <x v="28"/>
    <x v="137"/>
    <n v="2"/>
    <n v="0.2"/>
    <n v="10.349999999999994"/>
  </r>
  <r>
    <x v="141"/>
    <x v="67"/>
    <d v="2017-09-18T00:00:00"/>
    <s v="9"/>
    <x v="3"/>
    <s v="902302017"/>
    <x v="1"/>
    <s v="SH-19975"/>
    <x v="64"/>
    <x v="1"/>
    <x v="8"/>
    <x v="8"/>
    <x v="1"/>
    <n v="94122"/>
    <x v="1"/>
    <s v="OFF-AR-10000940"/>
    <x v="1"/>
    <x v="6"/>
    <x v="135"/>
    <x v="138"/>
    <n v="3"/>
    <n v="0"/>
    <n v="2.3814000000000002"/>
  </r>
  <r>
    <x v="142"/>
    <x v="67"/>
    <d v="2017-09-18T00:00:00"/>
    <s v="9"/>
    <x v="3"/>
    <s v="902302017"/>
    <x v="1"/>
    <s v="SH-19975"/>
    <x v="64"/>
    <x v="1"/>
    <x v="8"/>
    <x v="8"/>
    <x v="1"/>
    <n v="94122"/>
    <x v="1"/>
    <s v="OFF-EN-10004030"/>
    <x v="1"/>
    <x v="12"/>
    <x v="136"/>
    <x v="139"/>
    <n v="3"/>
    <n v="0"/>
    <n v="5.1042000000000005"/>
  </r>
  <r>
    <x v="143"/>
    <x v="67"/>
    <d v="2017-09-18T00:00:00"/>
    <s v="9"/>
    <x v="3"/>
    <s v="902302017"/>
    <x v="1"/>
    <s v="SH-19975"/>
    <x v="64"/>
    <x v="1"/>
    <x v="8"/>
    <x v="8"/>
    <x v="1"/>
    <n v="94122"/>
    <x v="1"/>
    <s v="OFF-PA-10004327"/>
    <x v="1"/>
    <x v="10"/>
    <x v="137"/>
    <x v="140"/>
    <n v="3"/>
    <n v="0"/>
    <n v="68.975999999999999"/>
  </r>
  <r>
    <x v="144"/>
    <x v="68"/>
    <d v="2017-12-22T00:00:00"/>
    <s v="12"/>
    <x v="3"/>
    <s v="1202702017"/>
    <x v="1"/>
    <s v="SG-20080"/>
    <x v="65"/>
    <x v="0"/>
    <x v="44"/>
    <x v="44"/>
    <x v="25"/>
    <n v="64055"/>
    <x v="2"/>
    <s v="OFF-AP-10001058"/>
    <x v="1"/>
    <x v="9"/>
    <x v="138"/>
    <x v="141"/>
    <n v="3"/>
    <n v="0"/>
    <n v="218.25179999999997"/>
  </r>
  <r>
    <x v="145"/>
    <x v="69"/>
    <d v="2015-09-07T00:00:00"/>
    <s v="9"/>
    <x v="1"/>
    <s v="901202015"/>
    <x v="1"/>
    <s v="HA-14920"/>
    <x v="66"/>
    <x v="0"/>
    <x v="45"/>
    <x v="45"/>
    <x v="1"/>
    <n v="91104"/>
    <x v="1"/>
    <s v="OFF-ST-10003656"/>
    <x v="1"/>
    <x v="4"/>
    <x v="82"/>
    <x v="142"/>
    <n v="7"/>
    <n v="0"/>
    <n v="20.157899999999998"/>
  </r>
  <r>
    <x v="146"/>
    <x v="70"/>
    <d v="2014-10-22T00:00:00"/>
    <s v="1"/>
    <x v="2"/>
    <s v="1002802014"/>
    <x v="1"/>
    <s v="MG-17680"/>
    <x v="67"/>
    <x v="2"/>
    <x v="46"/>
    <x v="46"/>
    <x v="24"/>
    <n v="43055"/>
    <x v="3"/>
    <s v="FUR-FU-10000521"/>
    <x v="0"/>
    <x v="5"/>
    <x v="139"/>
    <x v="143"/>
    <n v="4"/>
    <n v="0.2"/>
    <n v="12.90959999999999"/>
  </r>
  <r>
    <x v="147"/>
    <x v="71"/>
    <d v="2016-12-05T00:00:00"/>
    <s v="12"/>
    <x v="0"/>
    <s v="120902016"/>
    <x v="1"/>
    <s v="JE-16165"/>
    <x v="68"/>
    <x v="1"/>
    <x v="47"/>
    <x v="47"/>
    <x v="6"/>
    <n v="53132"/>
    <x v="2"/>
    <s v="TEC-PH-10000215"/>
    <x v="2"/>
    <x v="7"/>
    <x v="140"/>
    <x v="144"/>
    <n v="11"/>
    <n v="0"/>
    <n v="103.80150000000003"/>
  </r>
  <r>
    <x v="148"/>
    <x v="71"/>
    <d v="2016-12-05T00:00:00"/>
    <s v="12"/>
    <x v="0"/>
    <s v="120902016"/>
    <x v="1"/>
    <s v="JE-16165"/>
    <x v="68"/>
    <x v="1"/>
    <x v="47"/>
    <x v="47"/>
    <x v="6"/>
    <n v="53132"/>
    <x v="2"/>
    <s v="TEC-PH-10001448"/>
    <x v="2"/>
    <x v="7"/>
    <x v="141"/>
    <x v="145"/>
    <n v="3"/>
    <n v="0"/>
    <n v="5.9987999999999815"/>
  </r>
  <r>
    <x v="149"/>
    <x v="71"/>
    <d v="2016-12-05T00:00:00"/>
    <s v="12"/>
    <x v="0"/>
    <s v="120902016"/>
    <x v="1"/>
    <s v="JE-16165"/>
    <x v="68"/>
    <x v="1"/>
    <x v="47"/>
    <x v="47"/>
    <x v="6"/>
    <n v="53132"/>
    <x v="2"/>
    <s v="FUR-CH-10000454"/>
    <x v="0"/>
    <x v="1"/>
    <x v="1"/>
    <x v="146"/>
    <n v="8"/>
    <n v="0"/>
    <n v="585.55199999999991"/>
  </r>
  <r>
    <x v="150"/>
    <x v="71"/>
    <d v="2016-12-05T00:00:00"/>
    <s v="12"/>
    <x v="0"/>
    <s v="120902016"/>
    <x v="1"/>
    <s v="JE-16165"/>
    <x v="68"/>
    <x v="1"/>
    <x v="47"/>
    <x v="47"/>
    <x v="6"/>
    <n v="53132"/>
    <x v="2"/>
    <s v="OFF-BI-10002735"/>
    <x v="1"/>
    <x v="8"/>
    <x v="142"/>
    <x v="147"/>
    <n v="5"/>
    <n v="0"/>
    <n v="80.628500000000003"/>
  </r>
  <r>
    <x v="151"/>
    <x v="72"/>
    <d v="2016-03-13T00:00:00"/>
    <s v="3"/>
    <x v="0"/>
    <s v="301602016"/>
    <x v="2"/>
    <s v="TW-21025"/>
    <x v="69"/>
    <x v="2"/>
    <x v="48"/>
    <x v="48"/>
    <x v="16"/>
    <n v="85254"/>
    <x v="1"/>
    <s v="OFF-AP-10000326"/>
    <x v="1"/>
    <x v="9"/>
    <x v="143"/>
    <x v="148"/>
    <n v="5"/>
    <n v="0.2"/>
    <n v="17.765999999999991"/>
  </r>
  <r>
    <x v="152"/>
    <x v="72"/>
    <d v="2016-03-13T00:00:00"/>
    <s v="3"/>
    <x v="0"/>
    <s v="301602016"/>
    <x v="2"/>
    <s v="TW-21025"/>
    <x v="69"/>
    <x v="2"/>
    <x v="48"/>
    <x v="48"/>
    <x v="16"/>
    <n v="85254"/>
    <x v="1"/>
    <s v="TEC-PH-10001254"/>
    <x v="2"/>
    <x v="7"/>
    <x v="144"/>
    <x v="149"/>
    <n v="2"/>
    <n v="0.2"/>
    <n v="15.238799999999991"/>
  </r>
  <r>
    <x v="153"/>
    <x v="73"/>
    <d v="2015-05-31T00:00:00"/>
    <s v="6"/>
    <x v="1"/>
    <s v="60202015"/>
    <x v="2"/>
    <s v="SP-20650"/>
    <x v="70"/>
    <x v="1"/>
    <x v="49"/>
    <x v="49"/>
    <x v="1"/>
    <n v="95123"/>
    <x v="1"/>
    <s v="OFF-PA-10001950"/>
    <x v="1"/>
    <x v="10"/>
    <x v="145"/>
    <x v="150"/>
    <n v="7"/>
    <n v="0"/>
    <n v="26.270999999999994"/>
  </r>
  <r>
    <x v="154"/>
    <x v="73"/>
    <d v="2015-05-31T00:00:00"/>
    <s v="6"/>
    <x v="1"/>
    <s v="60202015"/>
    <x v="2"/>
    <s v="SP-20650"/>
    <x v="70"/>
    <x v="1"/>
    <x v="49"/>
    <x v="49"/>
    <x v="1"/>
    <n v="95123"/>
    <x v="1"/>
    <s v="OFF-PA-10002254"/>
    <x v="1"/>
    <x v="10"/>
    <x v="146"/>
    <x v="151"/>
    <n v="4"/>
    <n v="0"/>
    <n v="48.539199999999994"/>
  </r>
  <r>
    <x v="155"/>
    <x v="73"/>
    <d v="2015-05-31T00:00:00"/>
    <s v="6"/>
    <x v="1"/>
    <s v="60202015"/>
    <x v="2"/>
    <s v="SP-20650"/>
    <x v="70"/>
    <x v="1"/>
    <x v="49"/>
    <x v="49"/>
    <x v="1"/>
    <n v="95123"/>
    <x v="1"/>
    <s v="OFF-ST-10001590"/>
    <x v="1"/>
    <x v="4"/>
    <x v="147"/>
    <x v="152"/>
    <n v="6"/>
    <n v="0"/>
    <n v="21.028799999999997"/>
  </r>
  <r>
    <x v="156"/>
    <x v="74"/>
    <d v="2015-05-28T00:00:00"/>
    <s v="6"/>
    <x v="1"/>
    <s v="60302015"/>
    <x v="1"/>
    <s v="NK-18490"/>
    <x v="71"/>
    <x v="2"/>
    <x v="4"/>
    <x v="4"/>
    <x v="4"/>
    <n v="98105"/>
    <x v="1"/>
    <s v="OFF-AR-10001547"/>
    <x v="1"/>
    <x v="6"/>
    <x v="148"/>
    <x v="153"/>
    <n v="3"/>
    <n v="0"/>
    <n v="1.7901"/>
  </r>
  <r>
    <x v="157"/>
    <x v="75"/>
    <d v="2014-03-01T00:00:00"/>
    <s v="3"/>
    <x v="2"/>
    <s v="30602014"/>
    <x v="0"/>
    <s v="DB-13060"/>
    <x v="72"/>
    <x v="0"/>
    <x v="4"/>
    <x v="4"/>
    <x v="4"/>
    <n v="98115"/>
    <x v="1"/>
    <s v="FUR-CH-10004063"/>
    <x v="0"/>
    <x v="1"/>
    <x v="120"/>
    <x v="154"/>
    <n v="2"/>
    <n v="0.2"/>
    <n v="51.476399999999941"/>
  </r>
  <r>
    <x v="158"/>
    <x v="76"/>
    <d v="2016-11-20T00:00:00"/>
    <s v="11"/>
    <x v="0"/>
    <s v="1102402016"/>
    <x v="1"/>
    <s v="NP-18670"/>
    <x v="73"/>
    <x v="0"/>
    <x v="50"/>
    <x v="50"/>
    <x v="26"/>
    <n v="73034"/>
    <x v="2"/>
    <s v="OFF-LA-10002475"/>
    <x v="1"/>
    <x v="2"/>
    <x v="149"/>
    <x v="2"/>
    <n v="2"/>
    <n v="0"/>
    <n v="6.8713999999999995"/>
  </r>
  <r>
    <x v="159"/>
    <x v="76"/>
    <d v="2016-11-20T00:00:00"/>
    <s v="11"/>
    <x v="0"/>
    <s v="1102402016"/>
    <x v="1"/>
    <s v="NP-18670"/>
    <x v="73"/>
    <x v="0"/>
    <x v="50"/>
    <x v="50"/>
    <x v="26"/>
    <n v="73034"/>
    <x v="2"/>
    <s v="TEC-PH-10004536"/>
    <x v="2"/>
    <x v="7"/>
    <x v="150"/>
    <x v="155"/>
    <n v="7"/>
    <n v="0"/>
    <n v="236.23250000000002"/>
  </r>
  <r>
    <x v="160"/>
    <x v="77"/>
    <d v="2016-05-11T00:00:00"/>
    <s v="5"/>
    <x v="0"/>
    <s v="501202016"/>
    <x v="2"/>
    <s v="TT-21070"/>
    <x v="74"/>
    <x v="0"/>
    <x v="1"/>
    <x v="1"/>
    <x v="1"/>
    <n v="90045"/>
    <x v="1"/>
    <s v="OFF-PA-10002751"/>
    <x v="1"/>
    <x v="10"/>
    <x v="151"/>
    <x v="156"/>
    <n v="1"/>
    <n v="0"/>
    <n v="2.6909999999999998"/>
  </r>
  <r>
    <x v="161"/>
    <x v="78"/>
    <d v="2015-12-28T00:00:00"/>
    <s v="12"/>
    <x v="1"/>
    <s v="1203102015"/>
    <x v="0"/>
    <s v="EM-13960"/>
    <x v="75"/>
    <x v="0"/>
    <x v="10"/>
    <x v="10"/>
    <x v="9"/>
    <n v="19134"/>
    <x v="3"/>
    <s v="TEC-AC-10003657"/>
    <x v="2"/>
    <x v="11"/>
    <x v="152"/>
    <x v="157"/>
    <n v="2"/>
    <n v="0.2"/>
    <n v="1.359599999999995"/>
  </r>
  <r>
    <x v="162"/>
    <x v="79"/>
    <d v="2016-11-16T00:00:00"/>
    <s v="11"/>
    <x v="0"/>
    <s v="1102002016"/>
    <x v="1"/>
    <s v="RD-19900"/>
    <x v="76"/>
    <x v="0"/>
    <x v="51"/>
    <x v="51"/>
    <x v="27"/>
    <n v="88220"/>
    <x v="1"/>
    <s v="OFF-EN-10001990"/>
    <x v="1"/>
    <x v="12"/>
    <x v="153"/>
    <x v="158"/>
    <n v="5"/>
    <n v="0"/>
    <n v="13.347999999999997"/>
  </r>
  <r>
    <x v="163"/>
    <x v="80"/>
    <d v="2016-11-07T00:00:00"/>
    <s v="11"/>
    <x v="0"/>
    <s v="1101102016"/>
    <x v="1"/>
    <s v="MJ-17740"/>
    <x v="77"/>
    <x v="0"/>
    <x v="4"/>
    <x v="4"/>
    <x v="4"/>
    <n v="98115"/>
    <x v="1"/>
    <s v="OFF-BI-10004002"/>
    <x v="1"/>
    <x v="8"/>
    <x v="154"/>
    <x v="159"/>
    <n v="2"/>
    <n v="0.2"/>
    <n v="9.6879999999999988"/>
  </r>
  <r>
    <x v="164"/>
    <x v="81"/>
    <d v="2014-09-08T00:00:00"/>
    <s v="9"/>
    <x v="2"/>
    <s v="901202014"/>
    <x v="1"/>
    <s v="BM-11140"/>
    <x v="78"/>
    <x v="0"/>
    <x v="52"/>
    <x v="52"/>
    <x v="5"/>
    <n v="78207"/>
    <x v="2"/>
    <s v="OFF-AR-10004441"/>
    <x v="1"/>
    <x v="6"/>
    <x v="155"/>
    <x v="160"/>
    <n v="3"/>
    <n v="0.2"/>
    <n v="2.7324000000000002"/>
  </r>
  <r>
    <x v="165"/>
    <x v="81"/>
    <d v="2014-09-08T00:00:00"/>
    <s v="9"/>
    <x v="2"/>
    <s v="901202014"/>
    <x v="1"/>
    <s v="BM-11140"/>
    <x v="78"/>
    <x v="0"/>
    <x v="52"/>
    <x v="52"/>
    <x v="5"/>
    <n v="78207"/>
    <x v="2"/>
    <s v="TEC-MA-10000822"/>
    <x v="2"/>
    <x v="15"/>
    <x v="156"/>
    <x v="161"/>
    <n v="8"/>
    <n v="0.4"/>
    <n v="-1359.992000000002"/>
  </r>
  <r>
    <x v="166"/>
    <x v="81"/>
    <d v="2014-09-08T00:00:00"/>
    <s v="9"/>
    <x v="2"/>
    <s v="901202014"/>
    <x v="1"/>
    <s v="BM-11140"/>
    <x v="78"/>
    <x v="0"/>
    <x v="52"/>
    <x v="52"/>
    <x v="5"/>
    <n v="78207"/>
    <x v="2"/>
    <s v="OFF-ST-10000991"/>
    <x v="1"/>
    <x v="4"/>
    <x v="157"/>
    <x v="162"/>
    <n v="3"/>
    <n v="0.2"/>
    <n v="-58.634699999999995"/>
  </r>
  <r>
    <x v="167"/>
    <x v="81"/>
    <d v="2014-09-08T00:00:00"/>
    <s v="9"/>
    <x v="2"/>
    <s v="901202014"/>
    <x v="1"/>
    <s v="BM-11140"/>
    <x v="78"/>
    <x v="0"/>
    <x v="52"/>
    <x v="52"/>
    <x v="5"/>
    <n v="78207"/>
    <x v="2"/>
    <s v="FUR-CH-10004287"/>
    <x v="0"/>
    <x v="1"/>
    <x v="158"/>
    <x v="163"/>
    <n v="9"/>
    <n v="0.3"/>
    <n v="-24.858000000000175"/>
  </r>
  <r>
    <x v="168"/>
    <x v="81"/>
    <d v="2014-09-08T00:00:00"/>
    <s v="9"/>
    <x v="2"/>
    <s v="901202014"/>
    <x v="1"/>
    <s v="BM-11140"/>
    <x v="78"/>
    <x v="0"/>
    <x v="52"/>
    <x v="52"/>
    <x v="5"/>
    <n v="78207"/>
    <x v="2"/>
    <s v="OFF-AR-10002656"/>
    <x v="1"/>
    <x v="6"/>
    <x v="159"/>
    <x v="164"/>
    <n v="6"/>
    <n v="0.2"/>
    <n v="6.8135999999999974"/>
  </r>
  <r>
    <x v="169"/>
    <x v="81"/>
    <d v="2014-09-08T00:00:00"/>
    <s v="9"/>
    <x v="2"/>
    <s v="901202014"/>
    <x v="1"/>
    <s v="BM-11140"/>
    <x v="78"/>
    <x v="0"/>
    <x v="52"/>
    <x v="52"/>
    <x v="5"/>
    <n v="78207"/>
    <x v="2"/>
    <s v="OFF-AP-10002518"/>
    <x v="1"/>
    <x v="9"/>
    <x v="160"/>
    <x v="165"/>
    <n v="5"/>
    <n v="0.8"/>
    <n v="-453.84900000000005"/>
  </r>
  <r>
    <x v="170"/>
    <x v="81"/>
    <d v="2014-09-08T00:00:00"/>
    <s v="9"/>
    <x v="2"/>
    <s v="901202014"/>
    <x v="1"/>
    <s v="BM-11140"/>
    <x v="78"/>
    <x v="0"/>
    <x v="52"/>
    <x v="52"/>
    <x v="5"/>
    <n v="78207"/>
    <x v="2"/>
    <s v="TEC-PH-10003931"/>
    <x v="2"/>
    <x v="7"/>
    <x v="161"/>
    <x v="166"/>
    <n v="3"/>
    <n v="0.2"/>
    <n v="8.998500000000007"/>
  </r>
  <r>
    <x v="171"/>
    <x v="82"/>
    <d v="2014-08-05T00:00:00"/>
    <s v="8"/>
    <x v="2"/>
    <s v="80902014"/>
    <x v="1"/>
    <s v="CS-12130"/>
    <x v="79"/>
    <x v="0"/>
    <x v="1"/>
    <x v="1"/>
    <x v="1"/>
    <n v="90004"/>
    <x v="1"/>
    <s v="OFF-PA-10000659"/>
    <x v="1"/>
    <x v="10"/>
    <x v="162"/>
    <x v="167"/>
    <n v="3"/>
    <n v="0"/>
    <n v="9.841800000000001"/>
  </r>
  <r>
    <x v="172"/>
    <x v="82"/>
    <d v="2014-08-05T00:00:00"/>
    <s v="8"/>
    <x v="2"/>
    <s v="80902014"/>
    <x v="1"/>
    <s v="CS-12130"/>
    <x v="79"/>
    <x v="0"/>
    <x v="1"/>
    <x v="1"/>
    <x v="1"/>
    <n v="90004"/>
    <x v="1"/>
    <s v="OFF-PA-10001144"/>
    <x v="1"/>
    <x v="10"/>
    <x v="163"/>
    <x v="168"/>
    <n v="2"/>
    <n v="0"/>
    <n v="53.260799999999996"/>
  </r>
  <r>
    <x v="173"/>
    <x v="82"/>
    <d v="2014-08-05T00:00:00"/>
    <s v="8"/>
    <x v="2"/>
    <s v="80902014"/>
    <x v="1"/>
    <s v="CS-12130"/>
    <x v="79"/>
    <x v="0"/>
    <x v="1"/>
    <x v="1"/>
    <x v="1"/>
    <n v="90004"/>
    <x v="1"/>
    <s v="FUR-CH-10003817"/>
    <x v="0"/>
    <x v="1"/>
    <x v="164"/>
    <x v="169"/>
    <n v="7"/>
    <n v="0.2"/>
    <n v="21.259"/>
  </r>
  <r>
    <x v="174"/>
    <x v="83"/>
    <d v="2014-09-14T00:00:00"/>
    <s v="9"/>
    <x v="2"/>
    <s v="901902014"/>
    <x v="1"/>
    <s v="JB-15400"/>
    <x v="80"/>
    <x v="1"/>
    <x v="22"/>
    <x v="22"/>
    <x v="10"/>
    <n v="60623"/>
    <x v="2"/>
    <s v="OFF-AP-10000891"/>
    <x v="1"/>
    <x v="9"/>
    <x v="165"/>
    <x v="170"/>
    <n v="2"/>
    <n v="0.8"/>
    <n v="-131.12000000000003"/>
  </r>
  <r>
    <x v="175"/>
    <x v="83"/>
    <d v="2014-09-14T00:00:00"/>
    <s v="9"/>
    <x v="2"/>
    <s v="901902014"/>
    <x v="1"/>
    <s v="JB-15400"/>
    <x v="80"/>
    <x v="1"/>
    <x v="22"/>
    <x v="22"/>
    <x v="10"/>
    <n v="60623"/>
    <x v="2"/>
    <s v="OFF-LA-10003148"/>
    <x v="1"/>
    <x v="2"/>
    <x v="166"/>
    <x v="171"/>
    <n v="4"/>
    <n v="0.2"/>
    <n v="6.5519999999999987"/>
  </r>
  <r>
    <x v="176"/>
    <x v="84"/>
    <d v="2017-04-21T00:00:00"/>
    <s v="4"/>
    <x v="3"/>
    <s v="402502017"/>
    <x v="0"/>
    <s v="SJ-20500"/>
    <x v="81"/>
    <x v="0"/>
    <x v="12"/>
    <x v="12"/>
    <x v="5"/>
    <n v="77036"/>
    <x v="2"/>
    <s v="OFF-AP-10002684"/>
    <x v="1"/>
    <x v="9"/>
    <x v="167"/>
    <x v="172"/>
    <n v="4"/>
    <n v="0.8"/>
    <n v="-243.16000000000008"/>
  </r>
  <r>
    <x v="177"/>
    <x v="85"/>
    <d v="2015-11-21T00:00:00"/>
    <s v="11"/>
    <x v="1"/>
    <s v="1102302015"/>
    <x v="0"/>
    <s v="JE-15745"/>
    <x v="32"/>
    <x v="0"/>
    <x v="46"/>
    <x v="46"/>
    <x v="24"/>
    <n v="43055"/>
    <x v="3"/>
    <s v="FUR-CH-10004698"/>
    <x v="0"/>
    <x v="1"/>
    <x v="168"/>
    <x v="173"/>
    <n v="7"/>
    <n v="0.3"/>
    <n v="-11.337199999999939"/>
  </r>
  <r>
    <x v="178"/>
    <x v="85"/>
    <d v="2015-11-21T00:00:00"/>
    <s v="11"/>
    <x v="1"/>
    <s v="1102302015"/>
    <x v="0"/>
    <s v="JE-15745"/>
    <x v="32"/>
    <x v="0"/>
    <x v="46"/>
    <x v="46"/>
    <x v="24"/>
    <n v="43055"/>
    <x v="3"/>
    <s v="OFF-SU-10002189"/>
    <x v="1"/>
    <x v="14"/>
    <x v="169"/>
    <x v="174"/>
    <n v="5"/>
    <n v="0.2"/>
    <n v="-3.771500000000001"/>
  </r>
  <r>
    <x v="179"/>
    <x v="86"/>
    <d v="2015-12-15T00:00:00"/>
    <s v="12"/>
    <x v="1"/>
    <s v="1201902015"/>
    <x v="1"/>
    <s v="JK-15640"/>
    <x v="82"/>
    <x v="2"/>
    <x v="20"/>
    <x v="20"/>
    <x v="15"/>
    <n v="10009"/>
    <x v="3"/>
    <s v="OFF-AR-10001940"/>
    <x v="1"/>
    <x v="6"/>
    <x v="170"/>
    <x v="175"/>
    <n v="1"/>
    <n v="0"/>
    <n v="1.4104000000000001"/>
  </r>
  <r>
    <x v="180"/>
    <x v="87"/>
    <d v="2014-12-05T00:00:00"/>
    <s v="12"/>
    <x v="2"/>
    <s v="120902014"/>
    <x v="0"/>
    <s v="DK-13150"/>
    <x v="83"/>
    <x v="1"/>
    <x v="27"/>
    <x v="27"/>
    <x v="10"/>
    <n v="62521"/>
    <x v="2"/>
    <s v="OFF-ST-10003455"/>
    <x v="1"/>
    <x v="4"/>
    <x v="171"/>
    <x v="176"/>
    <n v="2"/>
    <n v="0.2"/>
    <n v="1.8612000000000002"/>
  </r>
  <r>
    <x v="181"/>
    <x v="87"/>
    <d v="2014-12-05T00:00:00"/>
    <s v="12"/>
    <x v="2"/>
    <s v="120902014"/>
    <x v="0"/>
    <s v="DK-13150"/>
    <x v="83"/>
    <x v="1"/>
    <x v="27"/>
    <x v="27"/>
    <x v="10"/>
    <n v="62521"/>
    <x v="2"/>
    <s v="TEC-AC-10004659"/>
    <x v="2"/>
    <x v="11"/>
    <x v="172"/>
    <x v="177"/>
    <n v="7"/>
    <n v="0.2"/>
    <n v="76.639499999999984"/>
  </r>
  <r>
    <x v="182"/>
    <x v="88"/>
    <d v="2014-11-19T00:00:00"/>
    <s v="11"/>
    <x v="2"/>
    <s v="1102402014"/>
    <x v="0"/>
    <s v="RM-19675"/>
    <x v="84"/>
    <x v="2"/>
    <x v="53"/>
    <x v="53"/>
    <x v="28"/>
    <n v="71203"/>
    <x v="0"/>
    <s v="TEC-PH-10003273"/>
    <x v="2"/>
    <x v="7"/>
    <x v="173"/>
    <x v="178"/>
    <n v="4"/>
    <n v="0"/>
    <n v="131.02960000000002"/>
  </r>
  <r>
    <x v="183"/>
    <x v="88"/>
    <d v="2014-11-19T00:00:00"/>
    <s v="11"/>
    <x v="2"/>
    <s v="1102402014"/>
    <x v="0"/>
    <s v="RM-19675"/>
    <x v="84"/>
    <x v="2"/>
    <x v="53"/>
    <x v="53"/>
    <x v="28"/>
    <n v="71203"/>
    <x v="0"/>
    <s v="TEC-PH-10004896"/>
    <x v="2"/>
    <x v="7"/>
    <x v="174"/>
    <x v="179"/>
    <n v="5"/>
    <n v="0"/>
    <n v="41.986000000000004"/>
  </r>
  <r>
    <x v="184"/>
    <x v="88"/>
    <d v="2014-11-19T00:00:00"/>
    <s v="11"/>
    <x v="2"/>
    <s v="1102402014"/>
    <x v="0"/>
    <s v="RM-19675"/>
    <x v="84"/>
    <x v="2"/>
    <x v="53"/>
    <x v="53"/>
    <x v="28"/>
    <n v="71203"/>
    <x v="0"/>
    <s v="TEC-AC-10002345"/>
    <x v="2"/>
    <x v="11"/>
    <x v="175"/>
    <x v="180"/>
    <n v="2"/>
    <n v="0"/>
    <n v="7.25"/>
  </r>
  <r>
    <x v="185"/>
    <x v="89"/>
    <d v="2016-11-28T00:00:00"/>
    <s v="12"/>
    <x v="0"/>
    <s v="120202016"/>
    <x v="1"/>
    <s v="SK-19990"/>
    <x v="85"/>
    <x v="0"/>
    <x v="54"/>
    <x v="54"/>
    <x v="29"/>
    <n v="6824"/>
    <x v="3"/>
    <s v="OFF-BI-10001890"/>
    <x v="1"/>
    <x v="8"/>
    <x v="176"/>
    <x v="181"/>
    <n v="2"/>
    <n v="0"/>
    <n v="3.4367999999999999"/>
  </r>
  <r>
    <x v="186"/>
    <x v="90"/>
    <d v="2014-08-26T00:00:00"/>
    <s v="8"/>
    <x v="2"/>
    <s v="803002014"/>
    <x v="1"/>
    <s v="FM-14290"/>
    <x v="86"/>
    <x v="2"/>
    <x v="1"/>
    <x v="1"/>
    <x v="1"/>
    <n v="90032"/>
    <x v="1"/>
    <s v="TEC-AC-10002323"/>
    <x v="2"/>
    <x v="11"/>
    <x v="177"/>
    <x v="182"/>
    <n v="8"/>
    <n v="0"/>
    <n v="22.984000000000009"/>
  </r>
  <r>
    <x v="187"/>
    <x v="91"/>
    <d v="2016-07-16T00:00:00"/>
    <s v="7"/>
    <x v="0"/>
    <s v="702202016"/>
    <x v="1"/>
    <s v="AM-10360"/>
    <x v="87"/>
    <x v="1"/>
    <x v="55"/>
    <x v="55"/>
    <x v="5"/>
    <n v="75051"/>
    <x v="2"/>
    <s v="OFF-ST-10001328"/>
    <x v="1"/>
    <x v="4"/>
    <x v="178"/>
    <x v="183"/>
    <n v="3"/>
    <n v="0.2"/>
    <n v="3.7224000000000004"/>
  </r>
  <r>
    <x v="188"/>
    <x v="91"/>
    <d v="2016-07-16T00:00:00"/>
    <s v="7"/>
    <x v="0"/>
    <s v="702202016"/>
    <x v="1"/>
    <s v="AM-10360"/>
    <x v="87"/>
    <x v="1"/>
    <x v="55"/>
    <x v="55"/>
    <x v="5"/>
    <n v="75051"/>
    <x v="2"/>
    <s v="OFF-PA-10001950"/>
    <x v="1"/>
    <x v="10"/>
    <x v="145"/>
    <x v="184"/>
    <n v="3"/>
    <n v="0.2"/>
    <n v="6.2549999999999963"/>
  </r>
  <r>
    <x v="189"/>
    <x v="92"/>
    <d v="2015-10-12T00:00:00"/>
    <s v="1"/>
    <x v="1"/>
    <s v="1001402015"/>
    <x v="2"/>
    <s v="MP-17470"/>
    <x v="88"/>
    <x v="2"/>
    <x v="20"/>
    <x v="20"/>
    <x v="15"/>
    <n v="10035"/>
    <x v="3"/>
    <s v="FUR-BO-10002613"/>
    <x v="0"/>
    <x v="0"/>
    <x v="179"/>
    <x v="185"/>
    <n v="4"/>
    <n v="0.2"/>
    <n v="112.39199999999991"/>
  </r>
  <r>
    <x v="190"/>
    <x v="92"/>
    <d v="2015-10-12T00:00:00"/>
    <s v="1"/>
    <x v="1"/>
    <s v="1001402015"/>
    <x v="2"/>
    <s v="MP-17470"/>
    <x v="88"/>
    <x v="2"/>
    <x v="20"/>
    <x v="20"/>
    <x v="15"/>
    <n v="10035"/>
    <x v="3"/>
    <s v="TEC-PH-10001552"/>
    <x v="2"/>
    <x v="7"/>
    <x v="180"/>
    <x v="186"/>
    <n v="6"/>
    <n v="0"/>
    <n v="20.092800000000004"/>
  </r>
  <r>
    <x v="191"/>
    <x v="92"/>
    <d v="2015-10-12T00:00:00"/>
    <s v="1"/>
    <x v="1"/>
    <s v="1001402015"/>
    <x v="2"/>
    <s v="MP-17470"/>
    <x v="88"/>
    <x v="2"/>
    <x v="20"/>
    <x v="20"/>
    <x v="15"/>
    <n v="10035"/>
    <x v="3"/>
    <s v="OFF-PA-10000061"/>
    <x v="1"/>
    <x v="10"/>
    <x v="181"/>
    <x v="187"/>
    <n v="8"/>
    <n v="0"/>
    <n v="24.883200000000002"/>
  </r>
  <r>
    <x v="192"/>
    <x v="92"/>
    <d v="2015-10-12T00:00:00"/>
    <s v="1"/>
    <x v="1"/>
    <s v="1001402015"/>
    <x v="2"/>
    <s v="MP-17470"/>
    <x v="88"/>
    <x v="2"/>
    <x v="20"/>
    <x v="20"/>
    <x v="15"/>
    <n v="10035"/>
    <x v="3"/>
    <s v="FUR-BO-10002545"/>
    <x v="0"/>
    <x v="0"/>
    <x v="37"/>
    <x v="188"/>
    <n v="3"/>
    <n v="0.2"/>
    <n v="46.976400000000012"/>
  </r>
  <r>
    <x v="193"/>
    <x v="92"/>
    <d v="2015-10-12T00:00:00"/>
    <s v="1"/>
    <x v="1"/>
    <s v="1001402015"/>
    <x v="2"/>
    <s v="MP-17470"/>
    <x v="88"/>
    <x v="2"/>
    <x v="20"/>
    <x v="20"/>
    <x v="15"/>
    <n v="10035"/>
    <x v="3"/>
    <s v="OFF-AR-10003514"/>
    <x v="1"/>
    <x v="6"/>
    <x v="182"/>
    <x v="189"/>
    <n v="5"/>
    <n v="0"/>
    <n v="6.5669999999999984"/>
  </r>
  <r>
    <x v="194"/>
    <x v="93"/>
    <d v="2015-10-31T00:00:00"/>
    <s v="11"/>
    <x v="1"/>
    <s v="110602015"/>
    <x v="1"/>
    <s v="MZ-17515"/>
    <x v="89"/>
    <x v="1"/>
    <x v="56"/>
    <x v="56"/>
    <x v="1"/>
    <n v="92374"/>
    <x v="1"/>
    <s v="OFF-EN-10001509"/>
    <x v="1"/>
    <x v="12"/>
    <x v="29"/>
    <x v="190"/>
    <n v="7"/>
    <n v="0"/>
    <n v="6.7115999999999989"/>
  </r>
  <r>
    <x v="195"/>
    <x v="94"/>
    <d v="2014-03-21T00:00:00"/>
    <s v="3"/>
    <x v="2"/>
    <s v="302502014"/>
    <x v="1"/>
    <s v="CB-12025"/>
    <x v="90"/>
    <x v="0"/>
    <x v="57"/>
    <x v="57"/>
    <x v="24"/>
    <n v="45011"/>
    <x v="3"/>
    <s v="OFF-AR-10004685"/>
    <x v="1"/>
    <x v="6"/>
    <x v="183"/>
    <x v="191"/>
    <n v="2"/>
    <n v="0.2"/>
    <n v="1.2037999999999995"/>
  </r>
  <r>
    <x v="196"/>
    <x v="94"/>
    <d v="2014-03-21T00:00:00"/>
    <s v="3"/>
    <x v="2"/>
    <s v="302502014"/>
    <x v="1"/>
    <s v="CB-12025"/>
    <x v="90"/>
    <x v="0"/>
    <x v="57"/>
    <x v="57"/>
    <x v="24"/>
    <n v="45011"/>
    <x v="3"/>
    <s v="OFF-AR-10004027"/>
    <x v="1"/>
    <x v="6"/>
    <x v="184"/>
    <x v="192"/>
    <n v="3"/>
    <n v="0.2"/>
    <n v="1.5876000000000006"/>
  </r>
  <r>
    <x v="197"/>
    <x v="95"/>
    <d v="2017-11-06T00:00:00"/>
    <s v="11"/>
    <x v="3"/>
    <s v="1101302017"/>
    <x v="1"/>
    <s v="VM-21685"/>
    <x v="91"/>
    <x v="2"/>
    <x v="58"/>
    <x v="58"/>
    <x v="30"/>
    <n v="7090"/>
    <x v="3"/>
    <s v="OFF-ST-10001414"/>
    <x v="1"/>
    <x v="4"/>
    <x v="185"/>
    <x v="193"/>
    <n v="3"/>
    <n v="0"/>
    <n v="12.0276"/>
  </r>
  <r>
    <x v="198"/>
    <x v="96"/>
    <d v="2017-07-06T00:00:00"/>
    <s v="7"/>
    <x v="3"/>
    <s v="701302017"/>
    <x v="1"/>
    <s v="FH-14365"/>
    <x v="92"/>
    <x v="1"/>
    <x v="10"/>
    <x v="10"/>
    <x v="9"/>
    <n v="19120"/>
    <x v="3"/>
    <s v="OFF-BI-10000343"/>
    <x v="1"/>
    <x v="8"/>
    <x v="186"/>
    <x v="194"/>
    <n v="2"/>
    <n v="0.7"/>
    <n v="-2.2585999999999995"/>
  </r>
  <r>
    <x v="199"/>
    <x v="96"/>
    <d v="2017-07-06T00:00:00"/>
    <s v="7"/>
    <x v="3"/>
    <s v="701302017"/>
    <x v="1"/>
    <s v="FH-14365"/>
    <x v="92"/>
    <x v="1"/>
    <x v="10"/>
    <x v="10"/>
    <x v="9"/>
    <n v="19120"/>
    <x v="3"/>
    <s v="OFF-PA-10002749"/>
    <x v="1"/>
    <x v="10"/>
    <x v="187"/>
    <x v="195"/>
    <n v="3"/>
    <n v="0.2"/>
    <n v="5.8203000000000005"/>
  </r>
  <r>
    <x v="200"/>
    <x v="97"/>
    <d v="2017-06-24T00:00:00"/>
    <s v="6"/>
    <x v="3"/>
    <s v="602902017"/>
    <x v="1"/>
    <s v="MB-17305"/>
    <x v="93"/>
    <x v="0"/>
    <x v="59"/>
    <x v="59"/>
    <x v="24"/>
    <n v="44312"/>
    <x v="3"/>
    <s v="OFF-PA-10002666"/>
    <x v="1"/>
    <x v="10"/>
    <x v="188"/>
    <x v="196"/>
    <n v="3"/>
    <n v="0.2"/>
    <n v="6.794999999999999"/>
  </r>
  <r>
    <x v="201"/>
    <x v="98"/>
    <d v="2014-08-03T00:00:00"/>
    <s v="8"/>
    <x v="2"/>
    <s v="80502014"/>
    <x v="2"/>
    <s v="BS-11755"/>
    <x v="94"/>
    <x v="0"/>
    <x v="60"/>
    <x v="60"/>
    <x v="22"/>
    <n v="80219"/>
    <x v="1"/>
    <s v="FUR-TA-10004289"/>
    <x v="0"/>
    <x v="3"/>
    <x v="189"/>
    <x v="197"/>
    <n v="2"/>
    <n v="0.5"/>
    <n v="-161.875"/>
  </r>
  <r>
    <x v="202"/>
    <x v="98"/>
    <d v="2014-08-03T00:00:00"/>
    <s v="8"/>
    <x v="2"/>
    <s v="80502014"/>
    <x v="2"/>
    <s v="BS-11755"/>
    <x v="94"/>
    <x v="0"/>
    <x v="60"/>
    <x v="60"/>
    <x v="22"/>
    <n v="80219"/>
    <x v="1"/>
    <s v="OFF-AP-10003622"/>
    <x v="1"/>
    <x v="9"/>
    <x v="190"/>
    <x v="198"/>
    <n v="1"/>
    <n v="0.2"/>
    <n v="0.29249999999999987"/>
  </r>
  <r>
    <x v="203"/>
    <x v="99"/>
    <d v="2017-12-17T00:00:00"/>
    <s v="12"/>
    <x v="3"/>
    <s v="1202102017"/>
    <x v="0"/>
    <s v="LC-17140"/>
    <x v="95"/>
    <x v="0"/>
    <x v="61"/>
    <x v="61"/>
    <x v="5"/>
    <n v="75220"/>
    <x v="2"/>
    <s v="OFF-AP-10003217"/>
    <x v="1"/>
    <x v="9"/>
    <x v="191"/>
    <x v="199"/>
    <n v="2"/>
    <n v="0.8"/>
    <n v="-178.96680000000001"/>
  </r>
  <r>
    <x v="204"/>
    <x v="100"/>
    <d v="2017-06-03T00:00:00"/>
    <s v="6"/>
    <x v="3"/>
    <s v="60702017"/>
    <x v="1"/>
    <s v="HK-14890"/>
    <x v="96"/>
    <x v="1"/>
    <x v="47"/>
    <x v="47"/>
    <x v="18"/>
    <n v="37064"/>
    <x v="0"/>
    <s v="FUR-FU-10002960"/>
    <x v="0"/>
    <x v="5"/>
    <x v="192"/>
    <x v="200"/>
    <n v="7"/>
    <n v="0.2"/>
    <n v="9.6712000000000025"/>
  </r>
  <r>
    <x v="205"/>
    <x v="101"/>
    <d v="2017-12-09T00:00:00"/>
    <s v="12"/>
    <x v="3"/>
    <s v="1201402017"/>
    <x v="1"/>
    <s v="LE-16810"/>
    <x v="97"/>
    <x v="0"/>
    <x v="62"/>
    <x v="62"/>
    <x v="1"/>
    <n v="90604"/>
    <x v="1"/>
    <s v="TEC-PH-10001918"/>
    <x v="2"/>
    <x v="7"/>
    <x v="193"/>
    <x v="201"/>
    <n v="4"/>
    <n v="0.2"/>
    <n v="44.476800000000026"/>
  </r>
  <r>
    <x v="206"/>
    <x v="102"/>
    <d v="2017-12-01T00:00:00"/>
    <s v="12"/>
    <x v="3"/>
    <s v="120702017"/>
    <x v="1"/>
    <s v="JH-15985"/>
    <x v="98"/>
    <x v="0"/>
    <x v="63"/>
    <x v="63"/>
    <x v="12"/>
    <n v="48601"/>
    <x v="2"/>
    <s v="OFF-ST-10000642"/>
    <x v="1"/>
    <x v="4"/>
    <x v="194"/>
    <x v="202"/>
    <n v="4"/>
    <n v="0"/>
    <n v="5.8743999999999943"/>
  </r>
  <r>
    <x v="207"/>
    <x v="102"/>
    <d v="2017-12-01T00:00:00"/>
    <s v="12"/>
    <x v="3"/>
    <s v="120702017"/>
    <x v="1"/>
    <s v="JH-15985"/>
    <x v="98"/>
    <x v="0"/>
    <x v="63"/>
    <x v="63"/>
    <x v="12"/>
    <n v="48601"/>
    <x v="2"/>
    <s v="TEC-PH-10001700"/>
    <x v="2"/>
    <x v="7"/>
    <x v="195"/>
    <x v="203"/>
    <n v="2"/>
    <n v="0"/>
    <n v="35.634600000000006"/>
  </r>
  <r>
    <x v="208"/>
    <x v="102"/>
    <d v="2017-12-01T00:00:00"/>
    <s v="12"/>
    <x v="3"/>
    <s v="120702017"/>
    <x v="1"/>
    <s v="JH-15985"/>
    <x v="98"/>
    <x v="0"/>
    <x v="63"/>
    <x v="63"/>
    <x v="12"/>
    <n v="48601"/>
    <x v="2"/>
    <s v="OFF-BI-10003274"/>
    <x v="1"/>
    <x v="8"/>
    <x v="122"/>
    <x v="204"/>
    <n v="4"/>
    <n v="0"/>
    <n v="7.4824000000000002"/>
  </r>
  <r>
    <x v="209"/>
    <x v="102"/>
    <d v="2017-12-01T00:00:00"/>
    <s v="12"/>
    <x v="3"/>
    <s v="120702017"/>
    <x v="1"/>
    <s v="JH-15985"/>
    <x v="98"/>
    <x v="0"/>
    <x v="63"/>
    <x v="63"/>
    <x v="12"/>
    <n v="48601"/>
    <x v="2"/>
    <s v="OFF-FA-10000134"/>
    <x v="1"/>
    <x v="13"/>
    <x v="196"/>
    <x v="205"/>
    <n v="9"/>
    <n v="0"/>
    <n v="16.209899999999998"/>
  </r>
  <r>
    <x v="210"/>
    <x v="102"/>
    <d v="2017-12-01T00:00:00"/>
    <s v="12"/>
    <x v="3"/>
    <s v="120702017"/>
    <x v="1"/>
    <s v="JH-15985"/>
    <x v="98"/>
    <x v="0"/>
    <x v="63"/>
    <x v="63"/>
    <x v="12"/>
    <n v="48601"/>
    <x v="2"/>
    <s v="OFF-ST-10001522"/>
    <x v="1"/>
    <x v="4"/>
    <x v="197"/>
    <x v="206"/>
    <n v="1"/>
    <n v="0"/>
    <n v="3.6795999999999935"/>
  </r>
  <r>
    <x v="211"/>
    <x v="103"/>
    <d v="2015-02-09T00:00:00"/>
    <s v="2"/>
    <x v="1"/>
    <s v="201302015"/>
    <x v="0"/>
    <s v="MS-17980"/>
    <x v="99"/>
    <x v="1"/>
    <x v="61"/>
    <x v="61"/>
    <x v="5"/>
    <n v="75220"/>
    <x v="2"/>
    <s v="TEC-AC-10001266"/>
    <x v="2"/>
    <x v="11"/>
    <x v="198"/>
    <x v="207"/>
    <n v="2"/>
    <n v="0.2"/>
    <n v="6.4999999999999991"/>
  </r>
  <r>
    <x v="212"/>
    <x v="104"/>
    <d v="2015-01-02T00:00:00"/>
    <s v="1"/>
    <x v="1"/>
    <s v="10902015"/>
    <x v="1"/>
    <s v="VW-21775"/>
    <x v="100"/>
    <x v="1"/>
    <x v="64"/>
    <x v="64"/>
    <x v="24"/>
    <n v="44256"/>
    <x v="3"/>
    <s v="OFF-LA-10004544"/>
    <x v="1"/>
    <x v="2"/>
    <x v="199"/>
    <x v="208"/>
    <n v="2"/>
    <n v="0.2"/>
    <n v="8.879999999999999"/>
  </r>
  <r>
    <x v="213"/>
    <x v="104"/>
    <d v="2015-01-02T00:00:00"/>
    <s v="1"/>
    <x v="1"/>
    <s v="10902015"/>
    <x v="1"/>
    <s v="VW-21775"/>
    <x v="100"/>
    <x v="1"/>
    <x v="64"/>
    <x v="64"/>
    <x v="24"/>
    <n v="44256"/>
    <x v="3"/>
    <s v="FUR-BO-10004695"/>
    <x v="0"/>
    <x v="0"/>
    <x v="200"/>
    <x v="209"/>
    <n v="5"/>
    <n v="0.5"/>
    <n v="-244.32300000000006"/>
  </r>
  <r>
    <x v="214"/>
    <x v="104"/>
    <d v="2015-01-02T00:00:00"/>
    <s v="1"/>
    <x v="1"/>
    <s v="10902015"/>
    <x v="1"/>
    <s v="VW-21775"/>
    <x v="100"/>
    <x v="1"/>
    <x v="64"/>
    <x v="64"/>
    <x v="24"/>
    <n v="44256"/>
    <x v="3"/>
    <s v="TEC-PH-10002844"/>
    <x v="2"/>
    <x v="7"/>
    <x v="104"/>
    <x v="210"/>
    <n v="3"/>
    <n v="0.4"/>
    <n v="-14.695800000000006"/>
  </r>
  <r>
    <x v="215"/>
    <x v="104"/>
    <d v="2015-01-02T00:00:00"/>
    <s v="1"/>
    <x v="1"/>
    <s v="10902015"/>
    <x v="1"/>
    <s v="VW-21775"/>
    <x v="100"/>
    <x v="1"/>
    <x v="64"/>
    <x v="64"/>
    <x v="24"/>
    <n v="44256"/>
    <x v="3"/>
    <s v="TEC-MA-10000864"/>
    <x v="2"/>
    <x v="15"/>
    <x v="201"/>
    <x v="211"/>
    <n v="9"/>
    <n v="0.7"/>
    <n v="-950.40000000000009"/>
  </r>
  <r>
    <x v="216"/>
    <x v="104"/>
    <d v="2015-01-02T00:00:00"/>
    <s v="1"/>
    <x v="1"/>
    <s v="10902015"/>
    <x v="1"/>
    <s v="VW-21775"/>
    <x v="100"/>
    <x v="1"/>
    <x v="64"/>
    <x v="64"/>
    <x v="24"/>
    <n v="44256"/>
    <x v="3"/>
    <s v="TEC-AC-10000109"/>
    <x v="2"/>
    <x v="11"/>
    <x v="202"/>
    <x v="212"/>
    <n v="2"/>
    <n v="0.2"/>
    <n v="4.4792000000000058"/>
  </r>
  <r>
    <x v="217"/>
    <x v="105"/>
    <d v="2016-10-28T00:00:00"/>
    <s v="11"/>
    <x v="0"/>
    <s v="110102016"/>
    <x v="1"/>
    <s v="JH-15910"/>
    <x v="101"/>
    <x v="0"/>
    <x v="1"/>
    <x v="1"/>
    <x v="1"/>
    <n v="90032"/>
    <x v="1"/>
    <s v="OFF-ST-10001328"/>
    <x v="1"/>
    <x v="4"/>
    <x v="178"/>
    <x v="213"/>
    <n v="6"/>
    <n v="0"/>
    <n v="26.056800000000003"/>
  </r>
  <r>
    <x v="218"/>
    <x v="105"/>
    <d v="2016-10-28T00:00:00"/>
    <s v="11"/>
    <x v="0"/>
    <s v="110102016"/>
    <x v="1"/>
    <s v="JH-15910"/>
    <x v="101"/>
    <x v="0"/>
    <x v="1"/>
    <x v="1"/>
    <x v="1"/>
    <n v="90032"/>
    <x v="1"/>
    <s v="TEC-PH-10002563"/>
    <x v="2"/>
    <x v="7"/>
    <x v="203"/>
    <x v="214"/>
    <n v="3"/>
    <n v="0.2"/>
    <n v="22.678200000000018"/>
  </r>
  <r>
    <x v="219"/>
    <x v="106"/>
    <d v="2015-12-24T00:00:00"/>
    <s v="12"/>
    <x v="1"/>
    <s v="1202702015"/>
    <x v="2"/>
    <s v="JB-15925"/>
    <x v="102"/>
    <x v="0"/>
    <x v="65"/>
    <x v="65"/>
    <x v="24"/>
    <n v="43017"/>
    <x v="3"/>
    <s v="OFF-FA-10000585"/>
    <x v="1"/>
    <x v="13"/>
    <x v="204"/>
    <x v="215"/>
    <n v="2"/>
    <n v="0.2"/>
    <n v="1.8147999999999997"/>
  </r>
  <r>
    <x v="220"/>
    <x v="106"/>
    <d v="2015-12-24T00:00:00"/>
    <s v="12"/>
    <x v="1"/>
    <s v="1202702015"/>
    <x v="2"/>
    <s v="JB-15925"/>
    <x v="102"/>
    <x v="0"/>
    <x v="65"/>
    <x v="65"/>
    <x v="24"/>
    <n v="43017"/>
    <x v="3"/>
    <s v="OFF-PA-10004000"/>
    <x v="1"/>
    <x v="10"/>
    <x v="205"/>
    <x v="216"/>
    <n v="6"/>
    <n v="0.2"/>
    <n v="8.2302"/>
  </r>
  <r>
    <x v="221"/>
    <x v="106"/>
    <d v="2015-12-24T00:00:00"/>
    <s v="12"/>
    <x v="1"/>
    <s v="1202702015"/>
    <x v="2"/>
    <s v="JB-15925"/>
    <x v="102"/>
    <x v="0"/>
    <x v="65"/>
    <x v="65"/>
    <x v="24"/>
    <n v="43017"/>
    <x v="3"/>
    <s v="OFF-BI-10002852"/>
    <x v="1"/>
    <x v="8"/>
    <x v="91"/>
    <x v="217"/>
    <n v="4"/>
    <n v="0.7"/>
    <n v="-13.843199999999996"/>
  </r>
  <r>
    <x v="222"/>
    <x v="106"/>
    <d v="2015-12-24T00:00:00"/>
    <s v="12"/>
    <x v="1"/>
    <s v="1202702015"/>
    <x v="2"/>
    <s v="JB-15925"/>
    <x v="102"/>
    <x v="0"/>
    <x v="65"/>
    <x v="65"/>
    <x v="24"/>
    <n v="43017"/>
    <x v="3"/>
    <s v="FUR-FU-10000087"/>
    <x v="0"/>
    <x v="5"/>
    <x v="206"/>
    <x v="218"/>
    <n v="4"/>
    <n v="0.2"/>
    <n v="19.084800000000005"/>
  </r>
  <r>
    <x v="223"/>
    <x v="106"/>
    <d v="2015-12-24T00:00:00"/>
    <s v="12"/>
    <x v="1"/>
    <s v="1202702015"/>
    <x v="2"/>
    <s v="JB-15925"/>
    <x v="102"/>
    <x v="0"/>
    <x v="65"/>
    <x v="65"/>
    <x v="24"/>
    <n v="43017"/>
    <x v="3"/>
    <s v="TEC-MA-10001148"/>
    <x v="2"/>
    <x v="15"/>
    <x v="207"/>
    <x v="219"/>
    <n v="4"/>
    <n v="0.7"/>
    <n v="-383.99040000000002"/>
  </r>
  <r>
    <x v="224"/>
    <x v="106"/>
    <d v="2015-12-24T00:00:00"/>
    <s v="12"/>
    <x v="1"/>
    <s v="1202702015"/>
    <x v="2"/>
    <s v="JB-15925"/>
    <x v="102"/>
    <x v="0"/>
    <x v="65"/>
    <x v="65"/>
    <x v="24"/>
    <n v="43017"/>
    <x v="3"/>
    <s v="OFF-AR-10001958"/>
    <x v="1"/>
    <x v="6"/>
    <x v="208"/>
    <x v="220"/>
    <n v="2"/>
    <n v="0.2"/>
    <n v="2.7168000000000001"/>
  </r>
  <r>
    <x v="225"/>
    <x v="107"/>
    <d v="2015-08-09T00:00:00"/>
    <s v="8"/>
    <x v="1"/>
    <s v="801602015"/>
    <x v="1"/>
    <s v="DS-13180"/>
    <x v="103"/>
    <x v="1"/>
    <x v="66"/>
    <x v="66"/>
    <x v="12"/>
    <n v="48227"/>
    <x v="2"/>
    <s v="OFF-AR-10001026"/>
    <x v="1"/>
    <x v="6"/>
    <x v="209"/>
    <x v="221"/>
    <n v="1"/>
    <n v="0"/>
    <n v="0.96800000000000019"/>
  </r>
  <r>
    <x v="226"/>
    <x v="107"/>
    <d v="2015-08-09T00:00:00"/>
    <s v="8"/>
    <x v="1"/>
    <s v="801602015"/>
    <x v="1"/>
    <s v="DS-13180"/>
    <x v="103"/>
    <x v="1"/>
    <x v="66"/>
    <x v="66"/>
    <x v="12"/>
    <n v="48227"/>
    <x v="2"/>
    <s v="FUR-TA-10003748"/>
    <x v="0"/>
    <x v="3"/>
    <x v="210"/>
    <x v="222"/>
    <n v="5"/>
    <n v="0"/>
    <n v="136.93899999999999"/>
  </r>
  <r>
    <x v="227"/>
    <x v="107"/>
    <d v="2015-08-09T00:00:00"/>
    <s v="8"/>
    <x v="1"/>
    <s v="801602015"/>
    <x v="1"/>
    <s v="DS-13180"/>
    <x v="103"/>
    <x v="1"/>
    <x v="66"/>
    <x v="66"/>
    <x v="12"/>
    <n v="48227"/>
    <x v="2"/>
    <s v="OFF-ST-10002485"/>
    <x v="1"/>
    <x v="4"/>
    <x v="211"/>
    <x v="223"/>
    <n v="1"/>
    <n v="0"/>
    <n v="0.21979999999999933"/>
  </r>
  <r>
    <x v="228"/>
    <x v="108"/>
    <d v="2015-02-28T00:00:00"/>
    <s v="3"/>
    <x v="1"/>
    <s v="30402015"/>
    <x v="1"/>
    <s v="VD-21670"/>
    <x v="104"/>
    <x v="0"/>
    <x v="29"/>
    <x v="29"/>
    <x v="18"/>
    <n v="38401"/>
    <x v="0"/>
    <s v="FUR-CH-10004860"/>
    <x v="0"/>
    <x v="1"/>
    <x v="212"/>
    <x v="224"/>
    <n v="2"/>
    <n v="0.2"/>
    <n v="-28.274400000000021"/>
  </r>
  <r>
    <x v="229"/>
    <x v="108"/>
    <d v="2015-02-28T00:00:00"/>
    <s v="3"/>
    <x v="1"/>
    <s v="30402015"/>
    <x v="1"/>
    <s v="VD-21670"/>
    <x v="104"/>
    <x v="0"/>
    <x v="29"/>
    <x v="29"/>
    <x v="18"/>
    <n v="38401"/>
    <x v="0"/>
    <s v="FUR-CH-10004477"/>
    <x v="0"/>
    <x v="1"/>
    <x v="213"/>
    <x v="225"/>
    <n v="8"/>
    <n v="0.2"/>
    <n v="43.840799999999973"/>
  </r>
  <r>
    <x v="230"/>
    <x v="109"/>
    <d v="2014-09-13T00:00:00"/>
    <s v="9"/>
    <x v="2"/>
    <s v="901702014"/>
    <x v="1"/>
    <s v="EA-14035"/>
    <x v="105"/>
    <x v="1"/>
    <x v="35"/>
    <x v="35"/>
    <x v="3"/>
    <n v="28205"/>
    <x v="0"/>
    <s v="OFF-BI-10001679"/>
    <x v="1"/>
    <x v="8"/>
    <x v="214"/>
    <x v="226"/>
    <n v="7"/>
    <n v="0.7"/>
    <n v="-12.431999999999999"/>
  </r>
  <r>
    <x v="231"/>
    <x v="110"/>
    <d v="2017-04-07T00:00:00"/>
    <s v="4"/>
    <x v="3"/>
    <s v="401202017"/>
    <x v="1"/>
    <s v="CS-12400"/>
    <x v="37"/>
    <x v="2"/>
    <x v="67"/>
    <x v="67"/>
    <x v="2"/>
    <n v="33614"/>
    <x v="0"/>
    <s v="FUR-TA-10001705"/>
    <x v="0"/>
    <x v="3"/>
    <x v="215"/>
    <x v="227"/>
    <n v="2"/>
    <n v="0.45"/>
    <n v="-102.04800000000003"/>
  </r>
  <r>
    <x v="232"/>
    <x v="110"/>
    <d v="2017-04-07T00:00:00"/>
    <s v="4"/>
    <x v="3"/>
    <s v="401202017"/>
    <x v="1"/>
    <s v="CS-12400"/>
    <x v="37"/>
    <x v="2"/>
    <x v="67"/>
    <x v="67"/>
    <x v="2"/>
    <n v="33614"/>
    <x v="0"/>
    <s v="FUR-TA-10003473"/>
    <x v="0"/>
    <x v="3"/>
    <x v="216"/>
    <x v="228"/>
    <n v="3"/>
    <n v="0.45"/>
    <n v="-248.24579999999992"/>
  </r>
  <r>
    <x v="233"/>
    <x v="110"/>
    <d v="2017-04-07T00:00:00"/>
    <s v="4"/>
    <x v="3"/>
    <s v="401202017"/>
    <x v="1"/>
    <s v="CS-12400"/>
    <x v="37"/>
    <x v="2"/>
    <x v="67"/>
    <x v="67"/>
    <x v="2"/>
    <n v="33614"/>
    <x v="0"/>
    <s v="OFF-BI-10001679"/>
    <x v="1"/>
    <x v="8"/>
    <x v="214"/>
    <x v="229"/>
    <n v="2"/>
    <n v="0.7"/>
    <n v="-3.5519999999999996"/>
  </r>
  <r>
    <x v="234"/>
    <x v="110"/>
    <d v="2017-04-07T00:00:00"/>
    <s v="4"/>
    <x v="3"/>
    <s v="401202017"/>
    <x v="1"/>
    <s v="CS-12400"/>
    <x v="37"/>
    <x v="2"/>
    <x v="67"/>
    <x v="67"/>
    <x v="2"/>
    <n v="33614"/>
    <x v="0"/>
    <s v="FUR-FU-10004017"/>
    <x v="0"/>
    <x v="5"/>
    <x v="217"/>
    <x v="230"/>
    <n v="3"/>
    <n v="0.2"/>
    <n v="0"/>
  </r>
  <r>
    <x v="235"/>
    <x v="110"/>
    <d v="2017-04-07T00:00:00"/>
    <s v="4"/>
    <x v="3"/>
    <s v="401202017"/>
    <x v="1"/>
    <s v="CS-12400"/>
    <x v="37"/>
    <x v="2"/>
    <x v="67"/>
    <x v="67"/>
    <x v="2"/>
    <n v="33614"/>
    <x v="0"/>
    <s v="TEC-AC-10003832"/>
    <x v="2"/>
    <x v="11"/>
    <x v="218"/>
    <x v="231"/>
    <n v="3"/>
    <n v="0.2"/>
    <n v="-7.724700000000098"/>
  </r>
  <r>
    <x v="236"/>
    <x v="111"/>
    <d v="2017-11-12T00:00:00"/>
    <s v="11"/>
    <x v="3"/>
    <s v="1101602017"/>
    <x v="1"/>
    <s v="DB-13120"/>
    <x v="106"/>
    <x v="1"/>
    <x v="68"/>
    <x v="68"/>
    <x v="1"/>
    <n v="95051"/>
    <x v="1"/>
    <s v="OFF-PA-10002479"/>
    <x v="1"/>
    <x v="10"/>
    <x v="219"/>
    <x v="232"/>
    <n v="2"/>
    <n v="0"/>
    <n v="4.7519999999999998"/>
  </r>
  <r>
    <x v="237"/>
    <x v="112"/>
    <d v="2016-06-04T00:00:00"/>
    <s v="6"/>
    <x v="0"/>
    <s v="60902016"/>
    <x v="0"/>
    <s v="KL-16645"/>
    <x v="107"/>
    <x v="0"/>
    <x v="22"/>
    <x v="22"/>
    <x v="10"/>
    <n v="60610"/>
    <x v="2"/>
    <s v="OFF-PA-10003349"/>
    <x v="1"/>
    <x v="10"/>
    <x v="220"/>
    <x v="233"/>
    <n v="5"/>
    <n v="0.2"/>
    <n v="9.3960000000000008"/>
  </r>
  <r>
    <x v="238"/>
    <x v="112"/>
    <d v="2016-06-04T00:00:00"/>
    <s v="6"/>
    <x v="0"/>
    <s v="60902016"/>
    <x v="0"/>
    <s v="KL-16645"/>
    <x v="107"/>
    <x v="0"/>
    <x v="22"/>
    <x v="22"/>
    <x v="10"/>
    <n v="60610"/>
    <x v="2"/>
    <s v="FUR-FU-10000576"/>
    <x v="0"/>
    <x v="5"/>
    <x v="221"/>
    <x v="234"/>
    <n v="5"/>
    <n v="0.6"/>
    <n v="-356.72799999999995"/>
  </r>
  <r>
    <x v="239"/>
    <x v="112"/>
    <d v="2016-06-04T00:00:00"/>
    <s v="6"/>
    <x v="0"/>
    <s v="60902016"/>
    <x v="0"/>
    <s v="KL-16645"/>
    <x v="107"/>
    <x v="0"/>
    <x v="22"/>
    <x v="22"/>
    <x v="10"/>
    <n v="60610"/>
    <x v="2"/>
    <s v="FUR-FU-10004351"/>
    <x v="0"/>
    <x v="5"/>
    <x v="222"/>
    <x v="235"/>
    <n v="3"/>
    <n v="0.6"/>
    <n v="-4.6751999999999985"/>
  </r>
  <r>
    <x v="240"/>
    <x v="112"/>
    <d v="2016-06-04T00:00:00"/>
    <s v="6"/>
    <x v="0"/>
    <s v="60902016"/>
    <x v="0"/>
    <s v="KL-16645"/>
    <x v="107"/>
    <x v="0"/>
    <x v="22"/>
    <x v="22"/>
    <x v="10"/>
    <n v="60610"/>
    <x v="2"/>
    <s v="TEC-PH-10000011"/>
    <x v="2"/>
    <x v="7"/>
    <x v="223"/>
    <x v="236"/>
    <n v="2"/>
    <n v="0.2"/>
    <n v="11.194399999999998"/>
  </r>
  <r>
    <x v="241"/>
    <x v="112"/>
    <d v="2016-06-04T00:00:00"/>
    <s v="6"/>
    <x v="0"/>
    <s v="60902016"/>
    <x v="0"/>
    <s v="KL-16645"/>
    <x v="107"/>
    <x v="0"/>
    <x v="22"/>
    <x v="22"/>
    <x v="10"/>
    <n v="60610"/>
    <x v="2"/>
    <s v="FUR-TA-10002607"/>
    <x v="0"/>
    <x v="3"/>
    <x v="224"/>
    <x v="237"/>
    <n v="5"/>
    <n v="0.5"/>
    <n v="-120.51299999999998"/>
  </r>
  <r>
    <x v="242"/>
    <x v="112"/>
    <d v="2016-06-04T00:00:00"/>
    <s v="6"/>
    <x v="0"/>
    <s v="60902016"/>
    <x v="0"/>
    <s v="KL-16645"/>
    <x v="107"/>
    <x v="0"/>
    <x v="22"/>
    <x v="22"/>
    <x v="10"/>
    <n v="60610"/>
    <x v="2"/>
    <s v="FUR-FU-10002505"/>
    <x v="0"/>
    <x v="5"/>
    <x v="225"/>
    <x v="238"/>
    <n v="3"/>
    <n v="0.6"/>
    <n v="-2.8307999999999995"/>
  </r>
  <r>
    <x v="243"/>
    <x v="112"/>
    <d v="2016-06-04T00:00:00"/>
    <s v="6"/>
    <x v="0"/>
    <s v="60902016"/>
    <x v="0"/>
    <s v="KL-16645"/>
    <x v="107"/>
    <x v="0"/>
    <x v="22"/>
    <x v="22"/>
    <x v="10"/>
    <n v="60610"/>
    <x v="2"/>
    <s v="OFF-AR-10004685"/>
    <x v="1"/>
    <x v="6"/>
    <x v="183"/>
    <x v="191"/>
    <n v="2"/>
    <n v="0.2"/>
    <n v="1.2037999999999995"/>
  </r>
  <r>
    <x v="244"/>
    <x v="113"/>
    <d v="2014-06-01T00:00:00"/>
    <s v="6"/>
    <x v="2"/>
    <s v="60602014"/>
    <x v="0"/>
    <s v="DW-13480"/>
    <x v="108"/>
    <x v="2"/>
    <x v="69"/>
    <x v="69"/>
    <x v="11"/>
    <n v="55044"/>
    <x v="2"/>
    <s v="FUR-CH-10004063"/>
    <x v="0"/>
    <x v="1"/>
    <x v="120"/>
    <x v="239"/>
    <n v="7"/>
    <n v="0"/>
    <n v="580.53939999999989"/>
  </r>
  <r>
    <x v="245"/>
    <x v="113"/>
    <d v="2014-06-01T00:00:00"/>
    <s v="6"/>
    <x v="2"/>
    <s v="60602014"/>
    <x v="0"/>
    <s v="DW-13480"/>
    <x v="108"/>
    <x v="2"/>
    <x v="69"/>
    <x v="69"/>
    <x v="11"/>
    <n v="55044"/>
    <x v="2"/>
    <s v="OFF-ST-10002276"/>
    <x v="1"/>
    <x v="4"/>
    <x v="226"/>
    <x v="240"/>
    <n v="2"/>
    <n v="0"/>
    <n v="41.680000000000007"/>
  </r>
  <r>
    <x v="246"/>
    <x v="113"/>
    <d v="2014-06-01T00:00:00"/>
    <s v="6"/>
    <x v="2"/>
    <s v="60602014"/>
    <x v="0"/>
    <s v="DW-13480"/>
    <x v="108"/>
    <x v="2"/>
    <x v="69"/>
    <x v="69"/>
    <x v="11"/>
    <n v="55044"/>
    <x v="2"/>
    <s v="OFF-PA-10004082"/>
    <x v="1"/>
    <x v="10"/>
    <x v="227"/>
    <x v="241"/>
    <n v="6"/>
    <n v="0"/>
    <n v="23.94"/>
  </r>
  <r>
    <x v="247"/>
    <x v="113"/>
    <d v="2014-06-01T00:00:00"/>
    <s v="6"/>
    <x v="2"/>
    <s v="60602014"/>
    <x v="0"/>
    <s v="DW-13480"/>
    <x v="108"/>
    <x v="2"/>
    <x v="69"/>
    <x v="69"/>
    <x v="11"/>
    <n v="55044"/>
    <x v="2"/>
    <s v="OFF-AP-10002945"/>
    <x v="1"/>
    <x v="9"/>
    <x v="228"/>
    <x v="242"/>
    <n v="5"/>
    <n v="0"/>
    <n v="496.07249999999993"/>
  </r>
  <r>
    <x v="248"/>
    <x v="113"/>
    <d v="2014-06-01T00:00:00"/>
    <s v="6"/>
    <x v="2"/>
    <s v="60602014"/>
    <x v="0"/>
    <s v="DW-13480"/>
    <x v="108"/>
    <x v="2"/>
    <x v="69"/>
    <x v="69"/>
    <x v="11"/>
    <n v="55044"/>
    <x v="2"/>
    <s v="OFF-PA-10000061"/>
    <x v="1"/>
    <x v="10"/>
    <x v="181"/>
    <x v="243"/>
    <n v="4"/>
    <n v="0"/>
    <n v="12.441600000000001"/>
  </r>
  <r>
    <x v="249"/>
    <x v="114"/>
    <d v="2016-12-10T00:00:00"/>
    <s v="12"/>
    <x v="0"/>
    <s v="1201502016"/>
    <x v="0"/>
    <s v="LH-17155"/>
    <x v="109"/>
    <x v="0"/>
    <x v="8"/>
    <x v="8"/>
    <x v="1"/>
    <n v="94109"/>
    <x v="1"/>
    <s v="FUR-CH-10002965"/>
    <x v="0"/>
    <x v="1"/>
    <x v="229"/>
    <x v="244"/>
    <n v="2"/>
    <n v="0.2"/>
    <n v="28.137200000000007"/>
  </r>
  <r>
    <x v="250"/>
    <x v="115"/>
    <d v="2016-09-11T00:00:00"/>
    <s v="9"/>
    <x v="0"/>
    <s v="901702016"/>
    <x v="1"/>
    <s v="KC-16540"/>
    <x v="110"/>
    <x v="0"/>
    <x v="70"/>
    <x v="70"/>
    <x v="1"/>
    <n v="92037"/>
    <x v="1"/>
    <s v="OFF-PA-10004569"/>
    <x v="1"/>
    <x v="10"/>
    <x v="230"/>
    <x v="245"/>
    <n v="1"/>
    <n v="0"/>
    <n v="3.5766999999999998"/>
  </r>
  <r>
    <x v="251"/>
    <x v="115"/>
    <d v="2016-09-11T00:00:00"/>
    <s v="9"/>
    <x v="0"/>
    <s v="901702016"/>
    <x v="1"/>
    <s v="KC-16540"/>
    <x v="110"/>
    <x v="0"/>
    <x v="70"/>
    <x v="70"/>
    <x v="1"/>
    <n v="92037"/>
    <x v="1"/>
    <s v="TEC-AC-10003832"/>
    <x v="2"/>
    <x v="11"/>
    <x v="218"/>
    <x v="246"/>
    <n v="13"/>
    <n v="0"/>
    <n v="636.0002999999997"/>
  </r>
  <r>
    <x v="252"/>
    <x v="116"/>
    <d v="2016-12-10T00:00:00"/>
    <s v="12"/>
    <x v="0"/>
    <s v="1201302016"/>
    <x v="2"/>
    <s v="DL-13315"/>
    <x v="111"/>
    <x v="0"/>
    <x v="20"/>
    <x v="20"/>
    <x v="15"/>
    <n v="10024"/>
    <x v="3"/>
    <s v="OFF-ST-10001228"/>
    <x v="1"/>
    <x v="4"/>
    <x v="231"/>
    <x v="247"/>
    <n v="6"/>
    <n v="0"/>
    <n v="22.562400000000004"/>
  </r>
  <r>
    <x v="253"/>
    <x v="116"/>
    <d v="2016-12-10T00:00:00"/>
    <s v="12"/>
    <x v="0"/>
    <s v="1201302016"/>
    <x v="2"/>
    <s v="DL-13315"/>
    <x v="111"/>
    <x v="0"/>
    <x v="20"/>
    <x v="20"/>
    <x v="15"/>
    <n v="10024"/>
    <x v="3"/>
    <s v="OFF-EN-10003296"/>
    <x v="1"/>
    <x v="12"/>
    <x v="232"/>
    <x v="248"/>
    <n v="4"/>
    <n v="0"/>
    <n v="162.864"/>
  </r>
  <r>
    <x v="254"/>
    <x v="117"/>
    <d v="2015-11-28T00:00:00"/>
    <s v="12"/>
    <x v="1"/>
    <s v="120402015"/>
    <x v="1"/>
    <s v="DR-12880"/>
    <x v="112"/>
    <x v="1"/>
    <x v="22"/>
    <x v="22"/>
    <x v="10"/>
    <n v="60623"/>
    <x v="2"/>
    <s v="FUR-FU-10002505"/>
    <x v="0"/>
    <x v="5"/>
    <x v="225"/>
    <x v="249"/>
    <n v="9"/>
    <n v="0.6"/>
    <n v="-8.4923999999999982"/>
  </r>
  <r>
    <x v="255"/>
    <x v="117"/>
    <d v="2015-11-28T00:00:00"/>
    <s v="12"/>
    <x v="1"/>
    <s v="120402015"/>
    <x v="1"/>
    <s v="DR-12880"/>
    <x v="112"/>
    <x v="1"/>
    <x v="22"/>
    <x v="22"/>
    <x v="10"/>
    <n v="60623"/>
    <x v="2"/>
    <s v="OFF-ST-10004804"/>
    <x v="1"/>
    <x v="4"/>
    <x v="233"/>
    <x v="250"/>
    <n v="2"/>
    <n v="0.2"/>
    <n v="-19.562399999999997"/>
  </r>
  <r>
    <x v="256"/>
    <x v="117"/>
    <d v="2015-11-28T00:00:00"/>
    <s v="12"/>
    <x v="1"/>
    <s v="120402015"/>
    <x v="1"/>
    <s v="DR-12880"/>
    <x v="112"/>
    <x v="1"/>
    <x v="22"/>
    <x v="22"/>
    <x v="10"/>
    <n v="60623"/>
    <x v="2"/>
    <s v="OFF-ST-10001590"/>
    <x v="1"/>
    <x v="4"/>
    <x v="147"/>
    <x v="251"/>
    <n v="5"/>
    <n v="0.2"/>
    <n v="4.0439999999999969"/>
  </r>
  <r>
    <x v="257"/>
    <x v="117"/>
    <d v="2015-11-28T00:00:00"/>
    <s v="12"/>
    <x v="1"/>
    <s v="120402015"/>
    <x v="1"/>
    <s v="DR-12880"/>
    <x v="112"/>
    <x v="1"/>
    <x v="22"/>
    <x v="22"/>
    <x v="10"/>
    <n v="60623"/>
    <x v="2"/>
    <s v="TEC-PH-10001580"/>
    <x v="2"/>
    <x v="7"/>
    <x v="234"/>
    <x v="252"/>
    <n v="6"/>
    <n v="0.2"/>
    <n v="56.691599999999966"/>
  </r>
  <r>
    <x v="258"/>
    <x v="118"/>
    <d v="2017-12-01T00:00:00"/>
    <s v="12"/>
    <x v="3"/>
    <s v="120302017"/>
    <x v="0"/>
    <s v="CC-12670"/>
    <x v="113"/>
    <x v="0"/>
    <x v="20"/>
    <x v="20"/>
    <x v="15"/>
    <n v="10009"/>
    <x v="3"/>
    <s v="TEC-AC-10000290"/>
    <x v="2"/>
    <x v="11"/>
    <x v="235"/>
    <x v="253"/>
    <n v="3"/>
    <n v="0"/>
    <n v="6.9258000000000006"/>
  </r>
  <r>
    <x v="259"/>
    <x v="118"/>
    <d v="2017-12-01T00:00:00"/>
    <s v="12"/>
    <x v="3"/>
    <s v="120302017"/>
    <x v="0"/>
    <s v="CC-12670"/>
    <x v="113"/>
    <x v="0"/>
    <x v="20"/>
    <x v="20"/>
    <x v="15"/>
    <n v="10009"/>
    <x v="3"/>
    <s v="OFF-ST-10002790"/>
    <x v="1"/>
    <x v="4"/>
    <x v="236"/>
    <x v="254"/>
    <n v="3"/>
    <n v="0"/>
    <n v="6.6465000000000174"/>
  </r>
  <r>
    <x v="260"/>
    <x v="118"/>
    <d v="2017-12-01T00:00:00"/>
    <s v="12"/>
    <x v="3"/>
    <s v="120302017"/>
    <x v="0"/>
    <s v="CC-12670"/>
    <x v="113"/>
    <x v="0"/>
    <x v="20"/>
    <x v="20"/>
    <x v="15"/>
    <n v="10009"/>
    <x v="3"/>
    <s v="OFF-BI-10003460"/>
    <x v="1"/>
    <x v="8"/>
    <x v="237"/>
    <x v="255"/>
    <n v="5"/>
    <n v="0.2"/>
    <n v="6.1319999999999988"/>
  </r>
  <r>
    <x v="261"/>
    <x v="119"/>
    <d v="2017-06-08T00:00:00"/>
    <s v="6"/>
    <x v="3"/>
    <s v="601202017"/>
    <x v="1"/>
    <s v="Dl-13600"/>
    <x v="114"/>
    <x v="1"/>
    <x v="45"/>
    <x v="45"/>
    <x v="5"/>
    <n v="77506"/>
    <x v="2"/>
    <s v="OFF-AP-10002203"/>
    <x v="1"/>
    <x v="9"/>
    <x v="238"/>
    <x v="256"/>
    <n v="2"/>
    <n v="0.8"/>
    <n v="-4.4660000000000002"/>
  </r>
  <r>
    <x v="262"/>
    <x v="120"/>
    <d v="2014-09-19T00:00:00"/>
    <s v="9"/>
    <x v="2"/>
    <s v="902102014"/>
    <x v="0"/>
    <s v="SB-20290"/>
    <x v="115"/>
    <x v="1"/>
    <x v="12"/>
    <x v="12"/>
    <x v="5"/>
    <n v="77036"/>
    <x v="2"/>
    <s v="TEC-MA-10000822"/>
    <x v="2"/>
    <x v="15"/>
    <x v="156"/>
    <x v="257"/>
    <n v="3"/>
    <n v="0.4"/>
    <n v="-509.99700000000075"/>
  </r>
  <r>
    <x v="263"/>
    <x v="120"/>
    <d v="2014-09-19T00:00:00"/>
    <s v="9"/>
    <x v="2"/>
    <s v="902102014"/>
    <x v="0"/>
    <s v="SB-20290"/>
    <x v="115"/>
    <x v="1"/>
    <x v="12"/>
    <x v="12"/>
    <x v="5"/>
    <n v="77036"/>
    <x v="2"/>
    <s v="TEC-MA-10003353"/>
    <x v="2"/>
    <x v="15"/>
    <x v="239"/>
    <x v="258"/>
    <n v="7"/>
    <n v="0.4"/>
    <n v="-251.99579999999992"/>
  </r>
  <r>
    <x v="264"/>
    <x v="121"/>
    <d v="2016-06-06T00:00:00"/>
    <s v="6"/>
    <x v="0"/>
    <s v="601302016"/>
    <x v="1"/>
    <s v="RC-19825"/>
    <x v="116"/>
    <x v="0"/>
    <x v="22"/>
    <x v="22"/>
    <x v="10"/>
    <n v="60610"/>
    <x v="2"/>
    <s v="TEC-PH-10001433"/>
    <x v="2"/>
    <x v="7"/>
    <x v="240"/>
    <x v="259"/>
    <n v="4"/>
    <n v="0.2"/>
    <n v="28.7196"/>
  </r>
  <r>
    <x v="265"/>
    <x v="122"/>
    <d v="2015-11-10T00:00:00"/>
    <s v="11"/>
    <x v="1"/>
    <s v="1101502015"/>
    <x v="1"/>
    <s v="AH-10210"/>
    <x v="117"/>
    <x v="0"/>
    <x v="71"/>
    <x v="71"/>
    <x v="1"/>
    <n v="94513"/>
    <x v="1"/>
    <s v="TEC-AC-10004469"/>
    <x v="2"/>
    <x v="11"/>
    <x v="241"/>
    <x v="260"/>
    <n v="2"/>
    <n v="0"/>
    <n v="35.156000000000006"/>
  </r>
  <r>
    <x v="266"/>
    <x v="123"/>
    <d v="2017-06-16T00:00:00"/>
    <s v="6"/>
    <x v="3"/>
    <s v="602002017"/>
    <x v="1"/>
    <s v="CB-12535"/>
    <x v="118"/>
    <x v="1"/>
    <x v="72"/>
    <x v="72"/>
    <x v="3"/>
    <n v="27514"/>
    <x v="0"/>
    <s v="OFF-AR-10003602"/>
    <x v="1"/>
    <x v="6"/>
    <x v="242"/>
    <x v="261"/>
    <n v="3"/>
    <n v="0.2"/>
    <n v="4.7303999999999995"/>
  </r>
  <r>
    <x v="267"/>
    <x v="124"/>
    <d v="2016-01-22T00:00:00"/>
    <s v="1"/>
    <x v="0"/>
    <s v="102802016"/>
    <x v="1"/>
    <s v="PG-18895"/>
    <x v="38"/>
    <x v="0"/>
    <x v="73"/>
    <x v="73"/>
    <x v="30"/>
    <n v="7960"/>
    <x v="3"/>
    <s v="OFF-FA-10003472"/>
    <x v="1"/>
    <x v="13"/>
    <x v="243"/>
    <x v="262"/>
    <n v="6"/>
    <n v="0"/>
    <n v="0.3024"/>
  </r>
  <r>
    <x v="268"/>
    <x v="125"/>
    <d v="2017-12-09T00:00:00"/>
    <s v="12"/>
    <x v="3"/>
    <s v="1201302017"/>
    <x v="1"/>
    <s v="CA-12310"/>
    <x v="119"/>
    <x v="1"/>
    <x v="74"/>
    <x v="74"/>
    <x v="24"/>
    <n v="45231"/>
    <x v="3"/>
    <s v="OFF-ST-10004180"/>
    <x v="1"/>
    <x v="4"/>
    <x v="244"/>
    <x v="263"/>
    <n v="1"/>
    <n v="0.2"/>
    <n v="-7.4416000000000011"/>
  </r>
  <r>
    <x v="269"/>
    <x v="125"/>
    <d v="2017-12-09T00:00:00"/>
    <s v="12"/>
    <x v="3"/>
    <s v="1201302017"/>
    <x v="1"/>
    <s v="CA-12310"/>
    <x v="119"/>
    <x v="1"/>
    <x v="74"/>
    <x v="74"/>
    <x v="24"/>
    <n v="45231"/>
    <x v="3"/>
    <s v="OFF-EN-10004386"/>
    <x v="1"/>
    <x v="12"/>
    <x v="245"/>
    <x v="264"/>
    <n v="3"/>
    <n v="0.2"/>
    <n v="21.591000000000001"/>
  </r>
  <r>
    <x v="270"/>
    <x v="126"/>
    <d v="2017-12-28T00:00:00"/>
    <s v="1"/>
    <x v="4"/>
    <s v="10202018"/>
    <x v="0"/>
    <s v="KH-16690"/>
    <x v="120"/>
    <x v="1"/>
    <x v="8"/>
    <x v="8"/>
    <x v="1"/>
    <n v="94110"/>
    <x v="1"/>
    <s v="OFF-ST-10003208"/>
    <x v="1"/>
    <x v="4"/>
    <x v="246"/>
    <x v="265"/>
    <n v="4"/>
    <n v="0"/>
    <n v="210.4935999999999"/>
  </r>
  <r>
    <x v="271"/>
    <x v="127"/>
    <d v="2015-07-30T00:00:00"/>
    <s v="7"/>
    <x v="1"/>
    <s v="703102015"/>
    <x v="2"/>
    <s v="HA-14920"/>
    <x v="66"/>
    <x v="0"/>
    <x v="8"/>
    <x v="8"/>
    <x v="1"/>
    <n v="94109"/>
    <x v="1"/>
    <s v="TEC-AC-10003628"/>
    <x v="2"/>
    <x v="11"/>
    <x v="247"/>
    <x v="266"/>
    <n v="7"/>
    <n v="0"/>
    <n v="92.369200000000021"/>
  </r>
  <r>
    <x v="272"/>
    <x v="127"/>
    <d v="2015-07-30T00:00:00"/>
    <s v="7"/>
    <x v="1"/>
    <s v="703102015"/>
    <x v="2"/>
    <s v="HA-14920"/>
    <x v="66"/>
    <x v="0"/>
    <x v="8"/>
    <x v="8"/>
    <x v="1"/>
    <n v="94109"/>
    <x v="1"/>
    <s v="FUR-FU-10003274"/>
    <x v="0"/>
    <x v="5"/>
    <x v="248"/>
    <x v="267"/>
    <n v="3"/>
    <n v="0"/>
    <n v="2.3232000000000004"/>
  </r>
  <r>
    <x v="273"/>
    <x v="127"/>
    <d v="2015-07-30T00:00:00"/>
    <s v="7"/>
    <x v="1"/>
    <s v="703102015"/>
    <x v="2"/>
    <s v="HA-14920"/>
    <x v="66"/>
    <x v="0"/>
    <x v="8"/>
    <x v="8"/>
    <x v="1"/>
    <n v="94109"/>
    <x v="1"/>
    <s v="OFF-BI-10002557"/>
    <x v="1"/>
    <x v="8"/>
    <x v="249"/>
    <x v="268"/>
    <n v="3"/>
    <n v="0.2"/>
    <n v="4.0949999999999989"/>
  </r>
  <r>
    <x v="274"/>
    <x v="128"/>
    <d v="2017-09-16T00:00:00"/>
    <s v="9"/>
    <x v="3"/>
    <s v="901702017"/>
    <x v="2"/>
    <s v="BB-10990"/>
    <x v="121"/>
    <x v="1"/>
    <x v="75"/>
    <x v="75"/>
    <x v="1"/>
    <n v="90301"/>
    <x v="1"/>
    <s v="OFF-PA-10002615"/>
    <x v="1"/>
    <x v="10"/>
    <x v="250"/>
    <x v="138"/>
    <n v="2"/>
    <n v="0"/>
    <n v="4.0571999999999999"/>
  </r>
  <r>
    <x v="275"/>
    <x v="128"/>
    <d v="2017-09-16T00:00:00"/>
    <s v="9"/>
    <x v="3"/>
    <s v="901702017"/>
    <x v="2"/>
    <s v="BB-10990"/>
    <x v="121"/>
    <x v="1"/>
    <x v="75"/>
    <x v="75"/>
    <x v="1"/>
    <n v="90301"/>
    <x v="1"/>
    <s v="OFF-AR-10001427"/>
    <x v="1"/>
    <x v="6"/>
    <x v="251"/>
    <x v="156"/>
    <n v="1"/>
    <n v="0"/>
    <n v="1.5548000000000002"/>
  </r>
  <r>
    <x v="276"/>
    <x v="129"/>
    <d v="2017-10-13T00:00:00"/>
    <s v="1"/>
    <x v="3"/>
    <s v="1001702017"/>
    <x v="1"/>
    <s v="AG-10495"/>
    <x v="122"/>
    <x v="1"/>
    <x v="10"/>
    <x v="10"/>
    <x v="9"/>
    <n v="19140"/>
    <x v="3"/>
    <s v="OFF-PA-10000673"/>
    <x v="1"/>
    <x v="10"/>
    <x v="252"/>
    <x v="25"/>
    <n v="2"/>
    <n v="0.2"/>
    <n v="4.0768000000000004"/>
  </r>
  <r>
    <x v="277"/>
    <x v="129"/>
    <d v="2017-10-13T00:00:00"/>
    <s v="1"/>
    <x v="3"/>
    <s v="1001702017"/>
    <x v="1"/>
    <s v="AG-10495"/>
    <x v="122"/>
    <x v="1"/>
    <x v="10"/>
    <x v="10"/>
    <x v="9"/>
    <n v="19140"/>
    <x v="3"/>
    <s v="OFF-PA-10004470"/>
    <x v="1"/>
    <x v="10"/>
    <x v="253"/>
    <x v="269"/>
    <n v="4"/>
    <n v="0.2"/>
    <n v="5.9071999999999987"/>
  </r>
  <r>
    <x v="278"/>
    <x v="129"/>
    <d v="2017-10-13T00:00:00"/>
    <s v="1"/>
    <x v="3"/>
    <s v="1001702017"/>
    <x v="1"/>
    <s v="AG-10495"/>
    <x v="122"/>
    <x v="1"/>
    <x v="10"/>
    <x v="10"/>
    <x v="9"/>
    <n v="19140"/>
    <x v="3"/>
    <s v="OFF-ST-10000876"/>
    <x v="1"/>
    <x v="4"/>
    <x v="254"/>
    <x v="270"/>
    <n v="6"/>
    <n v="0.2"/>
    <n v="5.9711999999999996"/>
  </r>
  <r>
    <x v="279"/>
    <x v="129"/>
    <d v="2017-10-13T00:00:00"/>
    <s v="1"/>
    <x v="3"/>
    <s v="1001702017"/>
    <x v="1"/>
    <s v="AG-10495"/>
    <x v="122"/>
    <x v="1"/>
    <x v="10"/>
    <x v="10"/>
    <x v="9"/>
    <n v="19140"/>
    <x v="3"/>
    <s v="OFF-LA-10002043"/>
    <x v="1"/>
    <x v="2"/>
    <x v="255"/>
    <x v="271"/>
    <n v="3"/>
    <n v="0.2"/>
    <n v="8.6940000000000008"/>
  </r>
  <r>
    <x v="280"/>
    <x v="130"/>
    <d v="2015-09-26T00:00:00"/>
    <s v="9"/>
    <x v="1"/>
    <s v="902802015"/>
    <x v="0"/>
    <s v="SC-20725"/>
    <x v="56"/>
    <x v="0"/>
    <x v="12"/>
    <x v="12"/>
    <x v="5"/>
    <n v="77070"/>
    <x v="2"/>
    <s v="OFF-BI-10004967"/>
    <x v="1"/>
    <x v="8"/>
    <x v="256"/>
    <x v="272"/>
    <n v="5"/>
    <n v="0.8"/>
    <n v="-3.4320000000000004"/>
  </r>
  <r>
    <x v="281"/>
    <x v="130"/>
    <d v="2015-09-26T00:00:00"/>
    <s v="9"/>
    <x v="1"/>
    <s v="902802015"/>
    <x v="0"/>
    <s v="SC-20725"/>
    <x v="56"/>
    <x v="0"/>
    <x v="12"/>
    <x v="12"/>
    <x v="5"/>
    <n v="77070"/>
    <x v="2"/>
    <s v="TEC-PH-10001760"/>
    <x v="2"/>
    <x v="7"/>
    <x v="257"/>
    <x v="273"/>
    <n v="7"/>
    <n v="0.2"/>
    <n v="376.11"/>
  </r>
  <r>
    <x v="282"/>
    <x v="131"/>
    <d v="2015-11-02T00:00:00"/>
    <s v="11"/>
    <x v="1"/>
    <s v="110602015"/>
    <x v="1"/>
    <s v="JO-15280"/>
    <x v="123"/>
    <x v="0"/>
    <x v="1"/>
    <x v="1"/>
    <x v="1"/>
    <n v="90004"/>
    <x v="1"/>
    <s v="FUR-TA-10002903"/>
    <x v="0"/>
    <x v="3"/>
    <x v="258"/>
    <x v="274"/>
    <n v="5"/>
    <n v="0.2"/>
    <n v="51.942000000000007"/>
  </r>
  <r>
    <x v="283"/>
    <x v="132"/>
    <d v="2015-09-26T00:00:00"/>
    <s v="1"/>
    <x v="1"/>
    <s v="100202015"/>
    <x v="1"/>
    <s v="TB-21520"/>
    <x v="14"/>
    <x v="0"/>
    <x v="32"/>
    <x v="32"/>
    <x v="21"/>
    <n v="97206"/>
    <x v="1"/>
    <s v="OFF-PA-10000474"/>
    <x v="1"/>
    <x v="10"/>
    <x v="33"/>
    <x v="275"/>
    <n v="5"/>
    <n v="0.2"/>
    <n v="47.843999999999994"/>
  </r>
  <r>
    <x v="284"/>
    <x v="132"/>
    <d v="2015-09-26T00:00:00"/>
    <s v="1"/>
    <x v="1"/>
    <s v="100202015"/>
    <x v="1"/>
    <s v="TB-21520"/>
    <x v="14"/>
    <x v="0"/>
    <x v="32"/>
    <x v="32"/>
    <x v="21"/>
    <n v="97206"/>
    <x v="1"/>
    <s v="TEC-AC-10001956"/>
    <x v="2"/>
    <x v="11"/>
    <x v="259"/>
    <x v="276"/>
    <n v="5"/>
    <n v="0.2"/>
    <n v="47.959999999999987"/>
  </r>
  <r>
    <x v="285"/>
    <x v="132"/>
    <d v="2015-09-26T00:00:00"/>
    <s v="1"/>
    <x v="1"/>
    <s v="100202015"/>
    <x v="1"/>
    <s v="TB-21520"/>
    <x v="14"/>
    <x v="0"/>
    <x v="32"/>
    <x v="32"/>
    <x v="21"/>
    <n v="97206"/>
    <x v="1"/>
    <s v="OFF-PA-10004100"/>
    <x v="1"/>
    <x v="10"/>
    <x v="260"/>
    <x v="277"/>
    <n v="6"/>
    <n v="0.2"/>
    <n v="10.8864"/>
  </r>
  <r>
    <x v="286"/>
    <x v="133"/>
    <d v="2016-12-18T00:00:00"/>
    <s v="12"/>
    <x v="0"/>
    <s v="1202002016"/>
    <x v="0"/>
    <s v="AH-10195"/>
    <x v="124"/>
    <x v="1"/>
    <x v="76"/>
    <x v="76"/>
    <x v="2"/>
    <n v="33319"/>
    <x v="0"/>
    <s v="OFF-BI-10000778"/>
    <x v="1"/>
    <x v="8"/>
    <x v="261"/>
    <x v="278"/>
    <n v="7"/>
    <n v="0.7"/>
    <n v="-169.3719999999999"/>
  </r>
  <r>
    <x v="287"/>
    <x v="133"/>
    <d v="2016-12-18T00:00:00"/>
    <s v="12"/>
    <x v="0"/>
    <s v="1202002016"/>
    <x v="0"/>
    <s v="AH-10195"/>
    <x v="124"/>
    <x v="1"/>
    <x v="76"/>
    <x v="76"/>
    <x v="2"/>
    <n v="33319"/>
    <x v="0"/>
    <s v="OFF-AP-10002684"/>
    <x v="1"/>
    <x v="9"/>
    <x v="167"/>
    <x v="279"/>
    <n v="2"/>
    <n v="0.2"/>
    <n v="24.315999999999974"/>
  </r>
  <r>
    <x v="288"/>
    <x v="133"/>
    <d v="2016-12-18T00:00:00"/>
    <s v="12"/>
    <x v="0"/>
    <s v="1202002016"/>
    <x v="0"/>
    <s v="AH-10195"/>
    <x v="124"/>
    <x v="1"/>
    <x v="76"/>
    <x v="76"/>
    <x v="2"/>
    <n v="33319"/>
    <x v="0"/>
    <s v="OFF-SU-10000646"/>
    <x v="1"/>
    <x v="14"/>
    <x v="262"/>
    <x v="280"/>
    <n v="5"/>
    <n v="0.2"/>
    <n v="-204.31449999999995"/>
  </r>
  <r>
    <x v="289"/>
    <x v="134"/>
    <d v="2016-11-20T00:00:00"/>
    <s v="11"/>
    <x v="0"/>
    <s v="1102402016"/>
    <x v="0"/>
    <s v="NZ-18565"/>
    <x v="125"/>
    <x v="2"/>
    <x v="38"/>
    <x v="38"/>
    <x v="24"/>
    <n v="43229"/>
    <x v="3"/>
    <s v="OFF-FA-10002983"/>
    <x v="1"/>
    <x v="13"/>
    <x v="263"/>
    <x v="281"/>
    <n v="7"/>
    <n v="0.2"/>
    <n v="6.6835999999999993"/>
  </r>
  <r>
    <x v="290"/>
    <x v="134"/>
    <d v="2016-11-20T00:00:00"/>
    <s v="11"/>
    <x v="0"/>
    <s v="1102402016"/>
    <x v="0"/>
    <s v="NZ-18565"/>
    <x v="125"/>
    <x v="2"/>
    <x v="38"/>
    <x v="38"/>
    <x v="24"/>
    <n v="43229"/>
    <x v="3"/>
    <s v="OFF-LA-10004689"/>
    <x v="1"/>
    <x v="2"/>
    <x v="264"/>
    <x v="282"/>
    <n v="8"/>
    <n v="0.2"/>
    <n v="6.2423999999999999"/>
  </r>
  <r>
    <x v="291"/>
    <x v="134"/>
    <d v="2016-11-20T00:00:00"/>
    <s v="11"/>
    <x v="0"/>
    <s v="1102402016"/>
    <x v="0"/>
    <s v="NZ-18565"/>
    <x v="125"/>
    <x v="2"/>
    <x v="38"/>
    <x v="38"/>
    <x v="24"/>
    <n v="43229"/>
    <x v="3"/>
    <s v="TEC-AC-10002001"/>
    <x v="2"/>
    <x v="11"/>
    <x v="265"/>
    <x v="283"/>
    <n v="2"/>
    <n v="0.2"/>
    <n v="54.396600000000007"/>
  </r>
  <r>
    <x v="292"/>
    <x v="134"/>
    <d v="2016-11-20T00:00:00"/>
    <s v="11"/>
    <x v="0"/>
    <s v="1102402016"/>
    <x v="0"/>
    <s v="NZ-18565"/>
    <x v="125"/>
    <x v="2"/>
    <x v="38"/>
    <x v="38"/>
    <x v="24"/>
    <n v="43229"/>
    <x v="3"/>
    <s v="FUR-BO-10004709"/>
    <x v="0"/>
    <x v="0"/>
    <x v="266"/>
    <x v="284"/>
    <n v="3"/>
    <n v="0.5"/>
    <n v="-48.703199999999995"/>
  </r>
  <r>
    <x v="293"/>
    <x v="135"/>
    <d v="2014-12-26T00:00:00"/>
    <s v="12"/>
    <x v="2"/>
    <s v="1202802014"/>
    <x v="2"/>
    <s v="KL-16555"/>
    <x v="126"/>
    <x v="1"/>
    <x v="77"/>
    <x v="77"/>
    <x v="22"/>
    <n v="80906"/>
    <x v="1"/>
    <s v="FUR-FU-10004091"/>
    <x v="0"/>
    <x v="5"/>
    <x v="267"/>
    <x v="285"/>
    <n v="8"/>
    <n v="0.2"/>
    <n v="78.859200000000001"/>
  </r>
  <r>
    <x v="294"/>
    <x v="135"/>
    <d v="2014-12-26T00:00:00"/>
    <s v="12"/>
    <x v="2"/>
    <s v="1202802014"/>
    <x v="2"/>
    <s v="KL-16555"/>
    <x v="126"/>
    <x v="1"/>
    <x v="77"/>
    <x v="77"/>
    <x v="22"/>
    <n v="80906"/>
    <x v="1"/>
    <s v="FUR-CH-10001891"/>
    <x v="0"/>
    <x v="1"/>
    <x v="268"/>
    <x v="286"/>
    <n v="3"/>
    <n v="0.2"/>
    <n v="20.155800000000013"/>
  </r>
  <r>
    <x v="295"/>
    <x v="135"/>
    <d v="2014-12-26T00:00:00"/>
    <s v="12"/>
    <x v="2"/>
    <s v="1202802014"/>
    <x v="2"/>
    <s v="KL-16555"/>
    <x v="126"/>
    <x v="1"/>
    <x v="77"/>
    <x v="77"/>
    <x v="22"/>
    <n v="80906"/>
    <x v="1"/>
    <s v="FUR-FU-10002918"/>
    <x v="0"/>
    <x v="5"/>
    <x v="269"/>
    <x v="287"/>
    <n v="3"/>
    <n v="0.2"/>
    <n v="-24.564599999999999"/>
  </r>
  <r>
    <x v="296"/>
    <x v="135"/>
    <d v="2014-12-26T00:00:00"/>
    <s v="12"/>
    <x v="2"/>
    <s v="1202802014"/>
    <x v="2"/>
    <s v="KL-16555"/>
    <x v="126"/>
    <x v="1"/>
    <x v="77"/>
    <x v="77"/>
    <x v="22"/>
    <n v="80906"/>
    <x v="1"/>
    <s v="OFF-BI-10004593"/>
    <x v="1"/>
    <x v="8"/>
    <x v="270"/>
    <x v="288"/>
    <n v="5"/>
    <n v="0.7"/>
    <n v="-62.88000000000001"/>
  </r>
  <r>
    <x v="297"/>
    <x v="135"/>
    <d v="2014-12-26T00:00:00"/>
    <s v="12"/>
    <x v="2"/>
    <s v="1202802014"/>
    <x v="2"/>
    <s v="KL-16555"/>
    <x v="126"/>
    <x v="1"/>
    <x v="77"/>
    <x v="77"/>
    <x v="22"/>
    <n v="80906"/>
    <x v="1"/>
    <s v="OFF-FA-10004854"/>
    <x v="1"/>
    <x v="13"/>
    <x v="271"/>
    <x v="289"/>
    <n v="3"/>
    <n v="0.2"/>
    <n v="9.2987999999999964"/>
  </r>
  <r>
    <x v="298"/>
    <x v="136"/>
    <d v="2016-10-28T00:00:00"/>
    <s v="11"/>
    <x v="0"/>
    <s v="110302016"/>
    <x v="1"/>
    <s v="JD-15895"/>
    <x v="63"/>
    <x v="1"/>
    <x v="78"/>
    <x v="78"/>
    <x v="30"/>
    <n v="7109"/>
    <x v="3"/>
    <s v="OFF-PA-10002105"/>
    <x v="1"/>
    <x v="10"/>
    <x v="272"/>
    <x v="56"/>
    <n v="5"/>
    <n v="0"/>
    <n v="15.552000000000001"/>
  </r>
  <r>
    <x v="299"/>
    <x v="136"/>
    <d v="2016-10-28T00:00:00"/>
    <s v="11"/>
    <x v="0"/>
    <s v="110302016"/>
    <x v="1"/>
    <s v="JD-15895"/>
    <x v="63"/>
    <x v="1"/>
    <x v="78"/>
    <x v="78"/>
    <x v="30"/>
    <n v="7109"/>
    <x v="3"/>
    <s v="OFF-ST-10002756"/>
    <x v="1"/>
    <x v="4"/>
    <x v="273"/>
    <x v="290"/>
    <n v="8"/>
    <n v="0"/>
    <n v="10.824800000000096"/>
  </r>
  <r>
    <x v="300"/>
    <x v="136"/>
    <d v="2016-10-28T00:00:00"/>
    <s v="11"/>
    <x v="0"/>
    <s v="110302016"/>
    <x v="1"/>
    <s v="JD-15895"/>
    <x v="63"/>
    <x v="1"/>
    <x v="78"/>
    <x v="78"/>
    <x v="30"/>
    <n v="7109"/>
    <x v="3"/>
    <s v="OFF-PA-10004243"/>
    <x v="1"/>
    <x v="10"/>
    <x v="274"/>
    <x v="291"/>
    <n v="3"/>
    <n v="0"/>
    <n v="27.316799999999997"/>
  </r>
  <r>
    <x v="301"/>
    <x v="136"/>
    <d v="2016-10-28T00:00:00"/>
    <s v="11"/>
    <x v="0"/>
    <s v="110302016"/>
    <x v="1"/>
    <s v="JD-15895"/>
    <x v="63"/>
    <x v="1"/>
    <x v="78"/>
    <x v="78"/>
    <x v="30"/>
    <n v="7109"/>
    <x v="3"/>
    <s v="FUR-FU-10001861"/>
    <x v="0"/>
    <x v="5"/>
    <x v="275"/>
    <x v="292"/>
    <n v="4"/>
    <n v="0"/>
    <n v="38.023999999999994"/>
  </r>
  <r>
    <x v="302"/>
    <x v="136"/>
    <d v="2016-10-28T00:00:00"/>
    <s v="11"/>
    <x v="0"/>
    <s v="110302016"/>
    <x v="1"/>
    <s v="JD-15895"/>
    <x v="63"/>
    <x v="1"/>
    <x v="78"/>
    <x v="78"/>
    <x v="30"/>
    <n v="7109"/>
    <x v="3"/>
    <s v="OFF-BI-10002706"/>
    <x v="1"/>
    <x v="8"/>
    <x v="276"/>
    <x v="293"/>
    <n v="1"/>
    <n v="0"/>
    <n v="6.5687999999999995"/>
  </r>
  <r>
    <x v="303"/>
    <x v="137"/>
    <d v="2017-11-19T00:00:00"/>
    <s v="11"/>
    <x v="3"/>
    <s v="1102302017"/>
    <x v="1"/>
    <s v="JH-15910"/>
    <x v="101"/>
    <x v="0"/>
    <x v="22"/>
    <x v="22"/>
    <x v="10"/>
    <n v="60623"/>
    <x v="2"/>
    <s v="FUR-TA-10002533"/>
    <x v="0"/>
    <x v="3"/>
    <x v="277"/>
    <x v="294"/>
    <n v="3"/>
    <n v="0.5"/>
    <n v="-131.44500000000005"/>
  </r>
  <r>
    <x v="304"/>
    <x v="138"/>
    <d v="2015-05-04T00:00:00"/>
    <s v="5"/>
    <x v="1"/>
    <s v="50902015"/>
    <x v="0"/>
    <s v="AS-10225"/>
    <x v="127"/>
    <x v="1"/>
    <x v="20"/>
    <x v="20"/>
    <x v="15"/>
    <n v="10024"/>
    <x v="3"/>
    <s v="FUR-FU-10002671"/>
    <x v="0"/>
    <x v="5"/>
    <x v="278"/>
    <x v="295"/>
    <n v="2"/>
    <n v="0"/>
    <n v="12.863999999999999"/>
  </r>
  <r>
    <x v="305"/>
    <x v="139"/>
    <d v="2014-12-30T00:00:00"/>
    <s v="1"/>
    <x v="1"/>
    <s v="10402015"/>
    <x v="1"/>
    <s v="KB-16600"/>
    <x v="33"/>
    <x v="1"/>
    <x v="79"/>
    <x v="79"/>
    <x v="12"/>
    <n v="48180"/>
    <x v="2"/>
    <s v="OFF-AR-10003651"/>
    <x v="1"/>
    <x v="6"/>
    <x v="279"/>
    <x v="296"/>
    <n v="3"/>
    <n v="0"/>
    <n v="2.8535999999999988"/>
  </r>
  <r>
    <x v="306"/>
    <x v="140"/>
    <d v="2014-06-01T00:00:00"/>
    <s v="6"/>
    <x v="2"/>
    <s v="60602014"/>
    <x v="1"/>
    <s v="CR-12625"/>
    <x v="128"/>
    <x v="2"/>
    <x v="80"/>
    <x v="80"/>
    <x v="30"/>
    <n v="8701"/>
    <x v="3"/>
    <s v="OFF-BI-10001072"/>
    <x v="1"/>
    <x v="8"/>
    <x v="280"/>
    <x v="297"/>
    <n v="3"/>
    <n v="0"/>
    <n v="20.9208"/>
  </r>
  <r>
    <x v="307"/>
    <x v="140"/>
    <d v="2014-06-01T00:00:00"/>
    <s v="6"/>
    <x v="2"/>
    <s v="60602014"/>
    <x v="1"/>
    <s v="CR-12625"/>
    <x v="128"/>
    <x v="2"/>
    <x v="80"/>
    <x v="80"/>
    <x v="30"/>
    <n v="8701"/>
    <x v="3"/>
    <s v="OFF-AR-10002135"/>
    <x v="1"/>
    <x v="6"/>
    <x v="281"/>
    <x v="298"/>
    <n v="6"/>
    <n v="0"/>
    <n v="83.867999999999967"/>
  </r>
  <r>
    <x v="308"/>
    <x v="141"/>
    <d v="2017-04-15T00:00:00"/>
    <s v="4"/>
    <x v="3"/>
    <s v="401702017"/>
    <x v="2"/>
    <s v="SH-20395"/>
    <x v="129"/>
    <x v="0"/>
    <x v="81"/>
    <x v="81"/>
    <x v="17"/>
    <n v="22204"/>
    <x v="0"/>
    <s v="OFF-AR-10002804"/>
    <x v="1"/>
    <x v="6"/>
    <x v="282"/>
    <x v="299"/>
    <n v="1"/>
    <n v="0"/>
    <n v="2.0049000000000001"/>
  </r>
  <r>
    <x v="309"/>
    <x v="142"/>
    <d v="2016-09-12T00:00:00"/>
    <s v="9"/>
    <x v="0"/>
    <s v="901402016"/>
    <x v="0"/>
    <s v="BP-11185"/>
    <x v="130"/>
    <x v="1"/>
    <x v="82"/>
    <x v="82"/>
    <x v="22"/>
    <n v="80004"/>
    <x v="1"/>
    <s v="FUR-FU-10001918"/>
    <x v="0"/>
    <x v="5"/>
    <x v="283"/>
    <x v="300"/>
    <n v="4"/>
    <n v="0.2"/>
    <n v="3.5948000000000011"/>
  </r>
  <r>
    <x v="310"/>
    <x v="142"/>
    <d v="2016-09-12T00:00:00"/>
    <s v="9"/>
    <x v="0"/>
    <s v="901402016"/>
    <x v="0"/>
    <s v="BP-11185"/>
    <x v="130"/>
    <x v="1"/>
    <x v="82"/>
    <x v="82"/>
    <x v="22"/>
    <n v="80004"/>
    <x v="1"/>
    <s v="FUR-CH-10004086"/>
    <x v="0"/>
    <x v="1"/>
    <x v="284"/>
    <x v="301"/>
    <n v="2"/>
    <n v="0.2"/>
    <n v="52.511399999999981"/>
  </r>
  <r>
    <x v="311"/>
    <x v="142"/>
    <d v="2016-09-12T00:00:00"/>
    <s v="9"/>
    <x v="0"/>
    <s v="901402016"/>
    <x v="0"/>
    <s v="BP-11185"/>
    <x v="130"/>
    <x v="1"/>
    <x v="82"/>
    <x v="82"/>
    <x v="22"/>
    <n v="80004"/>
    <x v="1"/>
    <s v="FUR-FU-10001756"/>
    <x v="0"/>
    <x v="5"/>
    <x v="285"/>
    <x v="302"/>
    <n v="1"/>
    <n v="0.2"/>
    <n v="1.7135999999999978"/>
  </r>
  <r>
    <x v="312"/>
    <x v="142"/>
    <d v="2016-09-12T00:00:00"/>
    <s v="9"/>
    <x v="0"/>
    <s v="901402016"/>
    <x v="0"/>
    <s v="BP-11185"/>
    <x v="130"/>
    <x v="1"/>
    <x v="82"/>
    <x v="82"/>
    <x v="22"/>
    <n v="80004"/>
    <x v="1"/>
    <s v="OFF-LA-10000634"/>
    <x v="1"/>
    <x v="2"/>
    <x v="286"/>
    <x v="303"/>
    <n v="3"/>
    <n v="0.2"/>
    <n v="2.0358000000000001"/>
  </r>
  <r>
    <x v="313"/>
    <x v="143"/>
    <d v="2014-09-27T00:00:00"/>
    <s v="1"/>
    <x v="2"/>
    <s v="100302014"/>
    <x v="1"/>
    <s v="TS-21205"/>
    <x v="131"/>
    <x v="1"/>
    <x v="83"/>
    <x v="83"/>
    <x v="30"/>
    <n v="7601"/>
    <x v="3"/>
    <s v="FUR-FU-10001588"/>
    <x v="0"/>
    <x v="5"/>
    <x v="287"/>
    <x v="304"/>
    <n v="3"/>
    <n v="0"/>
    <n v="37.642200000000003"/>
  </r>
  <r>
    <x v="314"/>
    <x v="144"/>
    <d v="2014-08-09T00:00:00"/>
    <s v="8"/>
    <x v="2"/>
    <s v="801602014"/>
    <x v="1"/>
    <s v="AG-10525"/>
    <x v="132"/>
    <x v="1"/>
    <x v="84"/>
    <x v="84"/>
    <x v="2"/>
    <n v="33710"/>
    <x v="0"/>
    <s v="TEC-PH-10002398"/>
    <x v="2"/>
    <x v="7"/>
    <x v="288"/>
    <x v="305"/>
    <n v="2"/>
    <n v="0.2"/>
    <n v="22.297999999999973"/>
  </r>
  <r>
    <x v="315"/>
    <x v="144"/>
    <d v="2014-08-09T00:00:00"/>
    <s v="8"/>
    <x v="2"/>
    <s v="801602014"/>
    <x v="1"/>
    <s v="AG-10525"/>
    <x v="132"/>
    <x v="1"/>
    <x v="84"/>
    <x v="84"/>
    <x v="2"/>
    <n v="33710"/>
    <x v="0"/>
    <s v="OFF-PA-10001937"/>
    <x v="1"/>
    <x v="10"/>
    <x v="289"/>
    <x v="12"/>
    <n v="3"/>
    <n v="0.2"/>
    <n v="5.4432"/>
  </r>
  <r>
    <x v="316"/>
    <x v="145"/>
    <d v="2014-12-28T00:00:00"/>
    <s v="12"/>
    <x v="2"/>
    <s v="1203002014"/>
    <x v="2"/>
    <s v="SP-20860"/>
    <x v="133"/>
    <x v="1"/>
    <x v="10"/>
    <x v="10"/>
    <x v="9"/>
    <n v="19143"/>
    <x v="3"/>
    <s v="OFF-AR-10003373"/>
    <x v="1"/>
    <x v="6"/>
    <x v="290"/>
    <x v="306"/>
    <n v="4"/>
    <n v="0.2"/>
    <n v="8.674399999999995"/>
  </r>
  <r>
    <x v="317"/>
    <x v="146"/>
    <d v="2014-11-04T00:00:00"/>
    <s v="11"/>
    <x v="2"/>
    <s v="110902014"/>
    <x v="1"/>
    <s v="NM-18445"/>
    <x v="134"/>
    <x v="2"/>
    <x v="20"/>
    <x v="20"/>
    <x v="15"/>
    <n v="10024"/>
    <x v="3"/>
    <s v="FUR-CH-10002602"/>
    <x v="0"/>
    <x v="1"/>
    <x v="291"/>
    <x v="307"/>
    <n v="1"/>
    <n v="0.1"/>
    <n v="24.156800000000004"/>
  </r>
  <r>
    <x v="318"/>
    <x v="146"/>
    <d v="2014-11-04T00:00:00"/>
    <s v="11"/>
    <x v="2"/>
    <s v="110902014"/>
    <x v="1"/>
    <s v="NM-18445"/>
    <x v="134"/>
    <x v="2"/>
    <x v="20"/>
    <x v="20"/>
    <x v="15"/>
    <n v="10024"/>
    <x v="3"/>
    <s v="TEC-MA-10002927"/>
    <x v="2"/>
    <x v="15"/>
    <x v="292"/>
    <x v="308"/>
    <n v="2"/>
    <n v="0"/>
    <n v="1995.99"/>
  </r>
  <r>
    <x v="319"/>
    <x v="146"/>
    <d v="2014-11-04T00:00:00"/>
    <s v="11"/>
    <x v="2"/>
    <s v="110902014"/>
    <x v="1"/>
    <s v="NM-18445"/>
    <x v="134"/>
    <x v="2"/>
    <x v="20"/>
    <x v="20"/>
    <x v="15"/>
    <n v="10024"/>
    <x v="3"/>
    <s v="TEC-PH-10004093"/>
    <x v="2"/>
    <x v="7"/>
    <x v="40"/>
    <x v="309"/>
    <n v="6"/>
    <n v="0"/>
    <n v="80.022599999999997"/>
  </r>
  <r>
    <x v="320"/>
    <x v="146"/>
    <d v="2014-11-04T00:00:00"/>
    <s v="11"/>
    <x v="2"/>
    <s v="110902014"/>
    <x v="1"/>
    <s v="NM-18445"/>
    <x v="134"/>
    <x v="2"/>
    <x v="20"/>
    <x v="20"/>
    <x v="15"/>
    <n v="10024"/>
    <x v="3"/>
    <s v="TEC-AC-10000892"/>
    <x v="2"/>
    <x v="11"/>
    <x v="293"/>
    <x v="310"/>
    <n v="4"/>
    <n v="0"/>
    <n v="129.6"/>
  </r>
  <r>
    <x v="321"/>
    <x v="146"/>
    <d v="2014-11-04T00:00:00"/>
    <s v="11"/>
    <x v="2"/>
    <s v="110902014"/>
    <x v="1"/>
    <s v="NM-18445"/>
    <x v="134"/>
    <x v="2"/>
    <x v="20"/>
    <x v="20"/>
    <x v="15"/>
    <n v="10024"/>
    <x v="3"/>
    <s v="OFF-ST-10002974"/>
    <x v="1"/>
    <x v="4"/>
    <x v="123"/>
    <x v="311"/>
    <n v="1"/>
    <n v="0"/>
    <n v="13.070999999999998"/>
  </r>
  <r>
    <x v="322"/>
    <x v="147"/>
    <d v="2014-09-19T00:00:00"/>
    <s v="9"/>
    <x v="2"/>
    <s v="902402014"/>
    <x v="1"/>
    <s v="FA-14230"/>
    <x v="135"/>
    <x v="1"/>
    <x v="85"/>
    <x v="85"/>
    <x v="1"/>
    <n v="90805"/>
    <x v="1"/>
    <s v="OFF-FA-10000624"/>
    <x v="1"/>
    <x v="13"/>
    <x v="294"/>
    <x v="181"/>
    <n v="2"/>
    <n v="0"/>
    <n v="3.58"/>
  </r>
  <r>
    <x v="323"/>
    <x v="148"/>
    <d v="2016-04-23T00:00:00"/>
    <s v="4"/>
    <x v="0"/>
    <s v="402702016"/>
    <x v="1"/>
    <s v="GK-14620"/>
    <x v="136"/>
    <x v="1"/>
    <x v="86"/>
    <x v="86"/>
    <x v="1"/>
    <n v="92345"/>
    <x v="1"/>
    <s v="OFF-BI-10004593"/>
    <x v="1"/>
    <x v="8"/>
    <x v="270"/>
    <x v="312"/>
    <n v="6"/>
    <n v="0.2"/>
    <n v="81.744"/>
  </r>
  <r>
    <x v="324"/>
    <x v="148"/>
    <d v="2016-04-23T00:00:00"/>
    <s v="4"/>
    <x v="0"/>
    <s v="402702016"/>
    <x v="1"/>
    <s v="GK-14620"/>
    <x v="136"/>
    <x v="1"/>
    <x v="86"/>
    <x v="86"/>
    <x v="1"/>
    <n v="92345"/>
    <x v="1"/>
    <s v="TEC-AC-10001908"/>
    <x v="2"/>
    <x v="11"/>
    <x v="295"/>
    <x v="313"/>
    <n v="1"/>
    <n v="0"/>
    <n v="34.996499999999997"/>
  </r>
  <r>
    <x v="325"/>
    <x v="149"/>
    <d v="2017-11-03T00:00:00"/>
    <s v="11"/>
    <x v="3"/>
    <s v="110502017"/>
    <x v="0"/>
    <s v="DJ-13510"/>
    <x v="137"/>
    <x v="1"/>
    <x v="87"/>
    <x v="87"/>
    <x v="18"/>
    <n v="37130"/>
    <x v="0"/>
    <s v="FUR-FU-10001967"/>
    <x v="0"/>
    <x v="5"/>
    <x v="296"/>
    <x v="314"/>
    <n v="1"/>
    <n v="0.2"/>
    <n v="0.99949999999999894"/>
  </r>
  <r>
    <x v="326"/>
    <x v="150"/>
    <d v="2016-08-30T00:00:00"/>
    <s v="9"/>
    <x v="0"/>
    <s v="90102016"/>
    <x v="2"/>
    <s v="PO-18850"/>
    <x v="138"/>
    <x v="0"/>
    <x v="10"/>
    <x v="10"/>
    <x v="9"/>
    <n v="19143"/>
    <x v="3"/>
    <s v="TEC-PH-10003645"/>
    <x v="2"/>
    <x v="7"/>
    <x v="297"/>
    <x v="315"/>
    <n v="3"/>
    <n v="0.4"/>
    <n v="-67.876199999999997"/>
  </r>
  <r>
    <x v="327"/>
    <x v="150"/>
    <d v="2016-08-30T00:00:00"/>
    <s v="9"/>
    <x v="0"/>
    <s v="90102016"/>
    <x v="2"/>
    <s v="PO-18850"/>
    <x v="138"/>
    <x v="0"/>
    <x v="10"/>
    <x v="10"/>
    <x v="9"/>
    <n v="19143"/>
    <x v="3"/>
    <s v="OFF-ST-10000675"/>
    <x v="1"/>
    <x v="4"/>
    <x v="298"/>
    <x v="316"/>
    <n v="2"/>
    <n v="0.2"/>
    <n v="3.3889999999999993"/>
  </r>
  <r>
    <x v="328"/>
    <x v="150"/>
    <d v="2016-08-30T00:00:00"/>
    <s v="9"/>
    <x v="0"/>
    <s v="90102016"/>
    <x v="2"/>
    <s v="PO-18850"/>
    <x v="138"/>
    <x v="0"/>
    <x v="10"/>
    <x v="10"/>
    <x v="9"/>
    <n v="19143"/>
    <x v="3"/>
    <s v="FUR-CH-10003312"/>
    <x v="0"/>
    <x v="1"/>
    <x v="299"/>
    <x v="317"/>
    <n v="4"/>
    <n v="0.3"/>
    <n v="-258.50160000000011"/>
  </r>
  <r>
    <x v="329"/>
    <x v="150"/>
    <d v="2016-08-30T00:00:00"/>
    <s v="9"/>
    <x v="0"/>
    <s v="90102016"/>
    <x v="2"/>
    <s v="PO-18850"/>
    <x v="138"/>
    <x v="0"/>
    <x v="10"/>
    <x v="10"/>
    <x v="9"/>
    <n v="19143"/>
    <x v="3"/>
    <s v="OFF-LA-10001074"/>
    <x v="1"/>
    <x v="2"/>
    <x v="300"/>
    <x v="318"/>
    <n v="10"/>
    <n v="0.2"/>
    <n v="33.830999999999989"/>
  </r>
  <r>
    <x v="330"/>
    <x v="150"/>
    <d v="2016-08-30T00:00:00"/>
    <s v="9"/>
    <x v="0"/>
    <s v="90102016"/>
    <x v="2"/>
    <s v="PO-18850"/>
    <x v="138"/>
    <x v="0"/>
    <x v="10"/>
    <x v="10"/>
    <x v="9"/>
    <n v="19143"/>
    <x v="3"/>
    <s v="OFF-BI-10001524"/>
    <x v="1"/>
    <x v="8"/>
    <x v="301"/>
    <x v="319"/>
    <n v="6"/>
    <n v="0.7"/>
    <n v="-27.693600000000004"/>
  </r>
  <r>
    <x v="331"/>
    <x v="151"/>
    <d v="2016-04-25T00:00:00"/>
    <s v="4"/>
    <x v="0"/>
    <s v="402902016"/>
    <x v="0"/>
    <s v="JL-15850"/>
    <x v="139"/>
    <x v="0"/>
    <x v="10"/>
    <x v="10"/>
    <x v="9"/>
    <n v="19134"/>
    <x v="3"/>
    <s v="TEC-PH-10004614"/>
    <x v="2"/>
    <x v="7"/>
    <x v="302"/>
    <x v="320"/>
    <n v="2"/>
    <n v="0.4"/>
    <n v="-20.700000000000003"/>
  </r>
  <r>
    <x v="332"/>
    <x v="151"/>
    <d v="2016-04-25T00:00:00"/>
    <s v="4"/>
    <x v="0"/>
    <s v="402902016"/>
    <x v="0"/>
    <s v="JL-15850"/>
    <x v="139"/>
    <x v="0"/>
    <x v="10"/>
    <x v="10"/>
    <x v="9"/>
    <n v="19134"/>
    <x v="3"/>
    <s v="OFF-BI-10001153"/>
    <x v="1"/>
    <x v="8"/>
    <x v="303"/>
    <x v="321"/>
    <n v="2"/>
    <n v="0.7"/>
    <n v="-13.815999999999995"/>
  </r>
  <r>
    <x v="333"/>
    <x v="151"/>
    <d v="2016-04-25T00:00:00"/>
    <s v="4"/>
    <x v="0"/>
    <s v="402902016"/>
    <x v="0"/>
    <s v="JL-15850"/>
    <x v="139"/>
    <x v="0"/>
    <x v="10"/>
    <x v="10"/>
    <x v="9"/>
    <n v="19134"/>
    <x v="3"/>
    <s v="OFF-BI-10001982"/>
    <x v="1"/>
    <x v="8"/>
    <x v="304"/>
    <x v="322"/>
    <n v="3"/>
    <n v="0.7"/>
    <n v="-3.4271999999999991"/>
  </r>
  <r>
    <x v="334"/>
    <x v="152"/>
    <d v="2015-09-01T00:00:00"/>
    <s v="9"/>
    <x v="1"/>
    <s v="90402015"/>
    <x v="0"/>
    <s v="DB-13615"/>
    <x v="140"/>
    <x v="0"/>
    <x v="1"/>
    <x v="1"/>
    <x v="1"/>
    <n v="90045"/>
    <x v="1"/>
    <s v="OFF-BI-10001922"/>
    <x v="1"/>
    <x v="8"/>
    <x v="305"/>
    <x v="323"/>
    <n v="1"/>
    <n v="0.2"/>
    <n v="1.6037999999999997"/>
  </r>
  <r>
    <x v="335"/>
    <x v="152"/>
    <d v="2015-09-01T00:00:00"/>
    <s v="9"/>
    <x v="1"/>
    <s v="90402015"/>
    <x v="0"/>
    <s v="DB-13615"/>
    <x v="140"/>
    <x v="0"/>
    <x v="1"/>
    <x v="1"/>
    <x v="1"/>
    <n v="90045"/>
    <x v="1"/>
    <s v="TEC-CO-10001449"/>
    <x v="2"/>
    <x v="16"/>
    <x v="306"/>
    <x v="324"/>
    <n v="2"/>
    <n v="0.2"/>
    <n v="335.99440000000004"/>
  </r>
  <r>
    <x v="336"/>
    <x v="152"/>
    <d v="2015-09-01T00:00:00"/>
    <s v="9"/>
    <x v="1"/>
    <s v="90402015"/>
    <x v="0"/>
    <s v="DB-13615"/>
    <x v="140"/>
    <x v="0"/>
    <x v="1"/>
    <x v="1"/>
    <x v="1"/>
    <n v="90045"/>
    <x v="1"/>
    <s v="OFF-BI-10004140"/>
    <x v="1"/>
    <x v="8"/>
    <x v="307"/>
    <x v="325"/>
    <n v="4"/>
    <n v="0.2"/>
    <n v="4.4899999999999984"/>
  </r>
  <r>
    <x v="337"/>
    <x v="153"/>
    <d v="2014-07-12T00:00:00"/>
    <s v="7"/>
    <x v="2"/>
    <s v="701702014"/>
    <x v="1"/>
    <s v="AC-10420"/>
    <x v="141"/>
    <x v="1"/>
    <x v="8"/>
    <x v="8"/>
    <x v="1"/>
    <n v="94122"/>
    <x v="1"/>
    <s v="OFF-BI-10003314"/>
    <x v="1"/>
    <x v="8"/>
    <x v="308"/>
    <x v="326"/>
    <n v="2"/>
    <n v="0.2"/>
    <n v="2.7956000000000003"/>
  </r>
  <r>
    <x v="338"/>
    <x v="153"/>
    <d v="2014-07-12T00:00:00"/>
    <s v="7"/>
    <x v="2"/>
    <s v="701702014"/>
    <x v="1"/>
    <s v="AC-10420"/>
    <x v="141"/>
    <x v="1"/>
    <x v="8"/>
    <x v="8"/>
    <x v="1"/>
    <n v="94122"/>
    <x v="1"/>
    <s v="FUR-TA-10004575"/>
    <x v="0"/>
    <x v="3"/>
    <x v="309"/>
    <x v="327"/>
    <n v="3"/>
    <n v="0.2"/>
    <n v="-17.458800000000053"/>
  </r>
  <r>
    <x v="339"/>
    <x v="154"/>
    <d v="2015-06-22T00:00:00"/>
    <s v="6"/>
    <x v="1"/>
    <s v="602602015"/>
    <x v="0"/>
    <s v="KL-16645"/>
    <x v="107"/>
    <x v="0"/>
    <x v="88"/>
    <x v="88"/>
    <x v="7"/>
    <n v="84041"/>
    <x v="1"/>
    <s v="OFF-FA-10000490"/>
    <x v="1"/>
    <x v="13"/>
    <x v="310"/>
    <x v="328"/>
    <n v="4"/>
    <n v="0"/>
    <n v="2.3311999999999999"/>
  </r>
  <r>
    <x v="340"/>
    <x v="155"/>
    <d v="2014-04-13T00:00:00"/>
    <s v="4"/>
    <x v="2"/>
    <s v="401702014"/>
    <x v="0"/>
    <s v="JD-15895"/>
    <x v="63"/>
    <x v="1"/>
    <x v="10"/>
    <x v="10"/>
    <x v="9"/>
    <n v="19140"/>
    <x v="3"/>
    <s v="OFF-AR-10000122"/>
    <x v="1"/>
    <x v="6"/>
    <x v="311"/>
    <x v="329"/>
    <n v="4"/>
    <n v="0.2"/>
    <n v="1.1159999999999979"/>
  </r>
  <r>
    <x v="341"/>
    <x v="155"/>
    <d v="2014-04-13T00:00:00"/>
    <s v="4"/>
    <x v="2"/>
    <s v="401702014"/>
    <x v="0"/>
    <s v="JD-15895"/>
    <x v="63"/>
    <x v="1"/>
    <x v="10"/>
    <x v="10"/>
    <x v="9"/>
    <n v="19140"/>
    <x v="3"/>
    <s v="OFF-BI-10003656"/>
    <x v="1"/>
    <x v="8"/>
    <x v="13"/>
    <x v="330"/>
    <n v="10"/>
    <n v="0.7"/>
    <n v="-407.97599999999989"/>
  </r>
  <r>
    <x v="342"/>
    <x v="155"/>
    <d v="2014-04-13T00:00:00"/>
    <s v="4"/>
    <x v="2"/>
    <s v="401702014"/>
    <x v="0"/>
    <s v="JD-15895"/>
    <x v="63"/>
    <x v="1"/>
    <x v="10"/>
    <x v="10"/>
    <x v="9"/>
    <n v="19140"/>
    <x v="3"/>
    <s v="OFF-FA-10002780"/>
    <x v="1"/>
    <x v="13"/>
    <x v="128"/>
    <x v="331"/>
    <n v="13"/>
    <n v="0.2"/>
    <n v="10.072399999999996"/>
  </r>
  <r>
    <x v="343"/>
    <x v="155"/>
    <d v="2014-04-13T00:00:00"/>
    <s v="4"/>
    <x v="2"/>
    <s v="401702014"/>
    <x v="0"/>
    <s v="JD-15895"/>
    <x v="63"/>
    <x v="1"/>
    <x v="10"/>
    <x v="10"/>
    <x v="9"/>
    <n v="19140"/>
    <x v="3"/>
    <s v="TEC-PH-10000702"/>
    <x v="2"/>
    <x v="7"/>
    <x v="312"/>
    <x v="332"/>
    <n v="12"/>
    <n v="0.4"/>
    <n v="8.3915999999999897"/>
  </r>
  <r>
    <x v="344"/>
    <x v="156"/>
    <d v="2015-12-20T00:00:00"/>
    <s v="12"/>
    <x v="1"/>
    <s v="1202402015"/>
    <x v="1"/>
    <s v="CS-12130"/>
    <x v="79"/>
    <x v="0"/>
    <x v="89"/>
    <x v="89"/>
    <x v="5"/>
    <n v="78745"/>
    <x v="2"/>
    <s v="OFF-ST-10000107"/>
    <x v="1"/>
    <x v="4"/>
    <x v="17"/>
    <x v="333"/>
    <n v="4"/>
    <n v="0.2"/>
    <n v="-2.2200000000000131"/>
  </r>
  <r>
    <x v="345"/>
    <x v="157"/>
    <d v="2017-06-15T00:00:00"/>
    <s v="6"/>
    <x v="3"/>
    <s v="601902017"/>
    <x v="1"/>
    <s v="CC-12550"/>
    <x v="142"/>
    <x v="0"/>
    <x v="8"/>
    <x v="8"/>
    <x v="1"/>
    <n v="94122"/>
    <x v="1"/>
    <s v="TEC-PH-10002293"/>
    <x v="2"/>
    <x v="7"/>
    <x v="126"/>
    <x v="334"/>
    <n v="3"/>
    <n v="0.2"/>
    <n v="4.7976000000000028"/>
  </r>
  <r>
    <x v="346"/>
    <x v="158"/>
    <d v="2017-07-08T00:00:00"/>
    <s v="7"/>
    <x v="3"/>
    <s v="701202017"/>
    <x v="1"/>
    <s v="TD-20995"/>
    <x v="143"/>
    <x v="0"/>
    <x v="90"/>
    <x v="90"/>
    <x v="31"/>
    <n v="1852"/>
    <x v="3"/>
    <s v="OFF-AR-10004027"/>
    <x v="1"/>
    <x v="6"/>
    <x v="184"/>
    <x v="262"/>
    <n v="3"/>
    <n v="0"/>
    <n v="3.0996000000000006"/>
  </r>
  <r>
    <x v="347"/>
    <x v="158"/>
    <d v="2017-07-08T00:00:00"/>
    <s v="7"/>
    <x v="3"/>
    <s v="701202017"/>
    <x v="1"/>
    <s v="TD-20995"/>
    <x v="143"/>
    <x v="0"/>
    <x v="90"/>
    <x v="90"/>
    <x v="31"/>
    <n v="1852"/>
    <x v="3"/>
    <s v="OFF-PA-10000249"/>
    <x v="1"/>
    <x v="10"/>
    <x v="33"/>
    <x v="335"/>
    <n v="2"/>
    <n v="0"/>
    <n v="11.543199999999999"/>
  </r>
  <r>
    <x v="348"/>
    <x v="158"/>
    <d v="2017-07-08T00:00:00"/>
    <s v="7"/>
    <x v="3"/>
    <s v="701202017"/>
    <x v="1"/>
    <s v="TD-20995"/>
    <x v="143"/>
    <x v="0"/>
    <x v="90"/>
    <x v="90"/>
    <x v="31"/>
    <n v="1852"/>
    <x v="3"/>
    <s v="OFF-AR-10001374"/>
    <x v="1"/>
    <x v="6"/>
    <x v="313"/>
    <x v="91"/>
    <n v="2"/>
    <n v="0"/>
    <n v="4.1471999999999998"/>
  </r>
  <r>
    <x v="349"/>
    <x v="159"/>
    <d v="2016-09-01T00:00:00"/>
    <s v="9"/>
    <x v="0"/>
    <s v="90302016"/>
    <x v="2"/>
    <s v="AB-10060"/>
    <x v="144"/>
    <x v="2"/>
    <x v="20"/>
    <x v="20"/>
    <x v="15"/>
    <n v="10009"/>
    <x v="3"/>
    <s v="TEC-AC-10000290"/>
    <x v="2"/>
    <x v="11"/>
    <x v="235"/>
    <x v="336"/>
    <n v="1"/>
    <n v="0"/>
    <n v="2.3086000000000002"/>
  </r>
  <r>
    <x v="350"/>
    <x v="159"/>
    <d v="2016-09-01T00:00:00"/>
    <s v="9"/>
    <x v="0"/>
    <s v="90302016"/>
    <x v="2"/>
    <s v="AB-10060"/>
    <x v="144"/>
    <x v="2"/>
    <x v="20"/>
    <x v="20"/>
    <x v="15"/>
    <n v="10009"/>
    <x v="3"/>
    <s v="OFF-PA-10001970"/>
    <x v="1"/>
    <x v="10"/>
    <x v="314"/>
    <x v="335"/>
    <n v="2"/>
    <n v="0"/>
    <n v="11.543199999999999"/>
  </r>
  <r>
    <x v="351"/>
    <x v="159"/>
    <d v="2016-09-01T00:00:00"/>
    <s v="9"/>
    <x v="0"/>
    <s v="90302016"/>
    <x v="2"/>
    <s v="AB-10060"/>
    <x v="144"/>
    <x v="2"/>
    <x v="20"/>
    <x v="20"/>
    <x v="15"/>
    <n v="10009"/>
    <x v="3"/>
    <s v="OFF-BI-10002160"/>
    <x v="1"/>
    <x v="8"/>
    <x v="315"/>
    <x v="337"/>
    <n v="1"/>
    <n v="0.2"/>
    <n v="1.0668"/>
  </r>
  <r>
    <x v="352"/>
    <x v="159"/>
    <d v="2016-09-01T00:00:00"/>
    <s v="9"/>
    <x v="0"/>
    <s v="90302016"/>
    <x v="2"/>
    <s v="AB-10060"/>
    <x v="144"/>
    <x v="2"/>
    <x v="20"/>
    <x v="20"/>
    <x v="15"/>
    <n v="10009"/>
    <x v="3"/>
    <s v="OFF-PA-10001970"/>
    <x v="1"/>
    <x v="10"/>
    <x v="314"/>
    <x v="338"/>
    <n v="4"/>
    <n v="0"/>
    <n v="23.086399999999998"/>
  </r>
  <r>
    <x v="353"/>
    <x v="159"/>
    <d v="2016-09-01T00:00:00"/>
    <s v="9"/>
    <x v="0"/>
    <s v="90302016"/>
    <x v="2"/>
    <s v="AB-10060"/>
    <x v="144"/>
    <x v="2"/>
    <x v="20"/>
    <x v="20"/>
    <x v="15"/>
    <n v="10009"/>
    <x v="3"/>
    <s v="OFF-BI-10004995"/>
    <x v="1"/>
    <x v="8"/>
    <x v="316"/>
    <x v="339"/>
    <n v="4"/>
    <n v="0.2"/>
    <n v="1415.4295999999997"/>
  </r>
  <r>
    <x v="354"/>
    <x v="160"/>
    <d v="2016-04-08T00:00:00"/>
    <s v="4"/>
    <x v="0"/>
    <s v="401302016"/>
    <x v="1"/>
    <s v="JL-15505"/>
    <x v="145"/>
    <x v="0"/>
    <x v="20"/>
    <x v="20"/>
    <x v="15"/>
    <n v="10035"/>
    <x v="3"/>
    <s v="FUR-BO-10002268"/>
    <x v="0"/>
    <x v="0"/>
    <x v="317"/>
    <x v="340"/>
    <n v="6"/>
    <n v="0.2"/>
    <n v="-4.8588000000000022"/>
  </r>
  <r>
    <x v="355"/>
    <x v="160"/>
    <d v="2016-04-08T00:00:00"/>
    <s v="4"/>
    <x v="0"/>
    <s v="401302016"/>
    <x v="1"/>
    <s v="JL-15505"/>
    <x v="145"/>
    <x v="0"/>
    <x v="20"/>
    <x v="20"/>
    <x v="15"/>
    <n v="10035"/>
    <x v="3"/>
    <s v="OFF-EN-10001137"/>
    <x v="1"/>
    <x v="12"/>
    <x v="318"/>
    <x v="341"/>
    <n v="2"/>
    <n v="0"/>
    <n v="3.7995999999999999"/>
  </r>
  <r>
    <x v="356"/>
    <x v="160"/>
    <d v="2016-04-08T00:00:00"/>
    <s v="4"/>
    <x v="0"/>
    <s v="401302016"/>
    <x v="1"/>
    <s v="JL-15505"/>
    <x v="145"/>
    <x v="0"/>
    <x v="20"/>
    <x v="20"/>
    <x v="15"/>
    <n v="10035"/>
    <x v="3"/>
    <s v="OFF-AR-10002399"/>
    <x v="1"/>
    <x v="6"/>
    <x v="319"/>
    <x v="342"/>
    <n v="4"/>
    <n v="0"/>
    <n v="6.9863999999999997"/>
  </r>
  <r>
    <x v="357"/>
    <x v="160"/>
    <d v="2016-04-08T00:00:00"/>
    <s v="4"/>
    <x v="0"/>
    <s v="401302016"/>
    <x v="1"/>
    <s v="JL-15505"/>
    <x v="145"/>
    <x v="0"/>
    <x v="20"/>
    <x v="20"/>
    <x v="15"/>
    <n v="10035"/>
    <x v="3"/>
    <s v="OFF-PA-10002713"/>
    <x v="1"/>
    <x v="10"/>
    <x v="320"/>
    <x v="343"/>
    <n v="5"/>
    <n v="0"/>
    <n v="15.823999999999998"/>
  </r>
  <r>
    <x v="358"/>
    <x v="161"/>
    <d v="2016-04-23T00:00:00"/>
    <s v="4"/>
    <x v="0"/>
    <s v="402802016"/>
    <x v="1"/>
    <s v="HK-14890"/>
    <x v="96"/>
    <x v="1"/>
    <x v="35"/>
    <x v="35"/>
    <x v="3"/>
    <n v="28205"/>
    <x v="0"/>
    <s v="OFF-PA-10002666"/>
    <x v="1"/>
    <x v="10"/>
    <x v="188"/>
    <x v="344"/>
    <n v="5"/>
    <n v="0.2"/>
    <n v="11.324999999999996"/>
  </r>
  <r>
    <x v="359"/>
    <x v="162"/>
    <d v="2017-03-08T00:00:00"/>
    <s v="3"/>
    <x v="3"/>
    <s v="301102017"/>
    <x v="2"/>
    <s v="VB-21745"/>
    <x v="146"/>
    <x v="1"/>
    <x v="38"/>
    <x v="38"/>
    <x v="32"/>
    <n v="31907"/>
    <x v="0"/>
    <s v="OFF-AP-10001124"/>
    <x v="1"/>
    <x v="9"/>
    <x v="321"/>
    <x v="345"/>
    <n v="8"/>
    <n v="0"/>
    <n v="168.4384"/>
  </r>
  <r>
    <x v="360"/>
    <x v="162"/>
    <d v="2017-03-08T00:00:00"/>
    <s v="3"/>
    <x v="3"/>
    <s v="301102017"/>
    <x v="2"/>
    <s v="VB-21745"/>
    <x v="146"/>
    <x v="1"/>
    <x v="38"/>
    <x v="38"/>
    <x v="32"/>
    <n v="31907"/>
    <x v="0"/>
    <s v="OFF-LA-10001158"/>
    <x v="1"/>
    <x v="2"/>
    <x v="322"/>
    <x v="346"/>
    <n v="2"/>
    <n v="0"/>
    <n v="9.9359999999999999"/>
  </r>
  <r>
    <x v="361"/>
    <x v="163"/>
    <d v="2017-09-25T00:00:00"/>
    <s v="1"/>
    <x v="3"/>
    <s v="100102017"/>
    <x v="1"/>
    <s v="KW-16435"/>
    <x v="147"/>
    <x v="0"/>
    <x v="20"/>
    <x v="20"/>
    <x v="15"/>
    <n v="10009"/>
    <x v="3"/>
    <s v="OFF-LA-10001158"/>
    <x v="1"/>
    <x v="2"/>
    <x v="322"/>
    <x v="346"/>
    <n v="2"/>
    <n v="0"/>
    <n v="9.9359999999999999"/>
  </r>
  <r>
    <x v="362"/>
    <x v="163"/>
    <d v="2017-09-25T00:00:00"/>
    <s v="1"/>
    <x v="3"/>
    <s v="100102017"/>
    <x v="1"/>
    <s v="KW-16435"/>
    <x v="147"/>
    <x v="0"/>
    <x v="20"/>
    <x v="20"/>
    <x v="15"/>
    <n v="10009"/>
    <x v="3"/>
    <s v="FUR-CH-10000785"/>
    <x v="0"/>
    <x v="1"/>
    <x v="323"/>
    <x v="347"/>
    <n v="3"/>
    <n v="0.1"/>
    <n v="86.870400000000004"/>
  </r>
  <r>
    <x v="363"/>
    <x v="163"/>
    <d v="2017-09-25T00:00:00"/>
    <s v="1"/>
    <x v="3"/>
    <s v="100102017"/>
    <x v="1"/>
    <s v="KW-16435"/>
    <x v="147"/>
    <x v="0"/>
    <x v="20"/>
    <x v="20"/>
    <x v="15"/>
    <n v="10009"/>
    <x v="3"/>
    <s v="OFF-AR-10003732"/>
    <x v="1"/>
    <x v="6"/>
    <x v="324"/>
    <x v="348"/>
    <n v="2"/>
    <n v="0"/>
    <n v="1.4455999999999998"/>
  </r>
  <r>
    <x v="364"/>
    <x v="163"/>
    <d v="2017-09-25T00:00:00"/>
    <s v="1"/>
    <x v="3"/>
    <s v="100102017"/>
    <x v="1"/>
    <s v="KW-16435"/>
    <x v="147"/>
    <x v="0"/>
    <x v="20"/>
    <x v="20"/>
    <x v="15"/>
    <n v="10009"/>
    <x v="3"/>
    <s v="FUR-FU-10000023"/>
    <x v="0"/>
    <x v="5"/>
    <x v="325"/>
    <x v="349"/>
    <n v="8"/>
    <n v="0"/>
    <n v="20.732800000000001"/>
  </r>
  <r>
    <x v="365"/>
    <x v="164"/>
    <d v="2014-09-24T00:00:00"/>
    <s v="9"/>
    <x v="2"/>
    <s v="902902014"/>
    <x v="1"/>
    <s v="JD-16060"/>
    <x v="148"/>
    <x v="0"/>
    <x v="8"/>
    <x v="8"/>
    <x v="1"/>
    <n v="94109"/>
    <x v="1"/>
    <s v="OFF-ST-10001713"/>
    <x v="1"/>
    <x v="4"/>
    <x v="45"/>
    <x v="46"/>
    <n v="4"/>
    <n v="0"/>
    <n v="8.4783999999999935"/>
  </r>
  <r>
    <x v="366"/>
    <x v="165"/>
    <d v="2016-10-21T00:00:00"/>
    <s v="1"/>
    <x v="0"/>
    <s v="1002102016"/>
    <x v="3"/>
    <s v="MK-17905"/>
    <x v="149"/>
    <x v="1"/>
    <x v="91"/>
    <x v="91"/>
    <x v="29"/>
    <n v="6040"/>
    <x v="3"/>
    <s v="OFF-BI-10002412"/>
    <x v="1"/>
    <x v="8"/>
    <x v="326"/>
    <x v="350"/>
    <n v="4"/>
    <n v="0"/>
    <n v="10.44"/>
  </r>
  <r>
    <x v="367"/>
    <x v="165"/>
    <d v="2016-10-21T00:00:00"/>
    <s v="1"/>
    <x v="0"/>
    <s v="1002102016"/>
    <x v="3"/>
    <s v="MK-17905"/>
    <x v="149"/>
    <x v="1"/>
    <x v="91"/>
    <x v="91"/>
    <x v="29"/>
    <n v="6040"/>
    <x v="3"/>
    <s v="OFF-SU-10001225"/>
    <x v="1"/>
    <x v="14"/>
    <x v="327"/>
    <x v="351"/>
    <n v="2"/>
    <n v="0"/>
    <n v="0.14719999999999978"/>
  </r>
  <r>
    <x v="368"/>
    <x v="165"/>
    <d v="2016-10-21T00:00:00"/>
    <s v="1"/>
    <x v="0"/>
    <s v="1002102016"/>
    <x v="3"/>
    <s v="MK-17905"/>
    <x v="149"/>
    <x v="1"/>
    <x v="91"/>
    <x v="91"/>
    <x v="29"/>
    <n v="6040"/>
    <x v="3"/>
    <s v="OFF-ST-10002406"/>
    <x v="1"/>
    <x v="4"/>
    <x v="328"/>
    <x v="352"/>
    <n v="7"/>
    <n v="0"/>
    <n v="29.341200000000008"/>
  </r>
  <r>
    <x v="369"/>
    <x v="165"/>
    <d v="2016-10-21T00:00:00"/>
    <s v="1"/>
    <x v="0"/>
    <s v="1002102016"/>
    <x v="3"/>
    <s v="MK-17905"/>
    <x v="149"/>
    <x v="1"/>
    <x v="91"/>
    <x v="91"/>
    <x v="29"/>
    <n v="6040"/>
    <x v="3"/>
    <s v="FUR-BO-10002545"/>
    <x v="0"/>
    <x v="0"/>
    <x v="37"/>
    <x v="353"/>
    <n v="4"/>
    <n v="0"/>
    <n v="271.41920000000005"/>
  </r>
  <r>
    <x v="370"/>
    <x v="166"/>
    <d v="2017-05-29T00:00:00"/>
    <s v="6"/>
    <x v="3"/>
    <s v="60402017"/>
    <x v="1"/>
    <s v="GT-14755"/>
    <x v="150"/>
    <x v="0"/>
    <x v="92"/>
    <x v="92"/>
    <x v="5"/>
    <n v="78550"/>
    <x v="2"/>
    <s v="OFF-PA-10002036"/>
    <x v="1"/>
    <x v="10"/>
    <x v="329"/>
    <x v="233"/>
    <n v="5"/>
    <n v="0.2"/>
    <n v="9.3960000000000008"/>
  </r>
  <r>
    <x v="371"/>
    <x v="166"/>
    <d v="2017-05-29T00:00:00"/>
    <s v="6"/>
    <x v="3"/>
    <s v="60402017"/>
    <x v="1"/>
    <s v="GT-14755"/>
    <x v="150"/>
    <x v="0"/>
    <x v="92"/>
    <x v="92"/>
    <x v="5"/>
    <n v="78550"/>
    <x v="2"/>
    <s v="OFF-ST-10002205"/>
    <x v="1"/>
    <x v="4"/>
    <x v="330"/>
    <x v="354"/>
    <n v="3"/>
    <n v="0.2"/>
    <n v="4.6746000000000016"/>
  </r>
  <r>
    <x v="372"/>
    <x v="167"/>
    <d v="2014-07-23T00:00:00"/>
    <s v="7"/>
    <x v="2"/>
    <s v="702702014"/>
    <x v="1"/>
    <s v="AG-10900"/>
    <x v="151"/>
    <x v="0"/>
    <x v="93"/>
    <x v="93"/>
    <x v="16"/>
    <n v="85705"/>
    <x v="1"/>
    <s v="OFF-BI-10001982"/>
    <x v="1"/>
    <x v="8"/>
    <x v="304"/>
    <x v="355"/>
    <n v="5"/>
    <n v="0.7"/>
    <n v="-5.7119999999999997"/>
  </r>
  <r>
    <x v="373"/>
    <x v="167"/>
    <d v="2014-07-23T00:00:00"/>
    <s v="7"/>
    <x v="2"/>
    <s v="702702014"/>
    <x v="1"/>
    <s v="AG-10900"/>
    <x v="151"/>
    <x v="0"/>
    <x v="93"/>
    <x v="93"/>
    <x v="16"/>
    <n v="85705"/>
    <x v="1"/>
    <s v="TEC-AC-10003911"/>
    <x v="2"/>
    <x v="11"/>
    <x v="331"/>
    <x v="356"/>
    <n v="8"/>
    <n v="0.2"/>
    <n v="179.1887999999999"/>
  </r>
  <r>
    <x v="374"/>
    <x v="167"/>
    <d v="2014-07-23T00:00:00"/>
    <s v="7"/>
    <x v="2"/>
    <s v="702702014"/>
    <x v="1"/>
    <s v="AG-10900"/>
    <x v="151"/>
    <x v="0"/>
    <x v="93"/>
    <x v="93"/>
    <x v="16"/>
    <n v="85705"/>
    <x v="1"/>
    <s v="OFF-AR-10000658"/>
    <x v="1"/>
    <x v="6"/>
    <x v="332"/>
    <x v="357"/>
    <n v="1"/>
    <n v="0.2"/>
    <n v="0.92399999999999993"/>
  </r>
  <r>
    <x v="375"/>
    <x v="167"/>
    <d v="2014-07-23T00:00:00"/>
    <s v="7"/>
    <x v="2"/>
    <s v="702702014"/>
    <x v="1"/>
    <s v="AG-10900"/>
    <x v="151"/>
    <x v="0"/>
    <x v="93"/>
    <x v="93"/>
    <x v="16"/>
    <n v="85705"/>
    <x v="1"/>
    <s v="TEC-AC-10002076"/>
    <x v="2"/>
    <x v="11"/>
    <x v="333"/>
    <x v="358"/>
    <n v="10"/>
    <n v="0.2"/>
    <n v="-29.940000000000012"/>
  </r>
  <r>
    <x v="376"/>
    <x v="168"/>
    <d v="2016-09-28T00:00:00"/>
    <s v="1"/>
    <x v="0"/>
    <s v="100102016"/>
    <x v="2"/>
    <s v="MM-18280"/>
    <x v="152"/>
    <x v="1"/>
    <x v="94"/>
    <x v="94"/>
    <x v="10"/>
    <n v="62301"/>
    <x v="2"/>
    <s v="OFF-PA-10003039"/>
    <x v="1"/>
    <x v="10"/>
    <x v="334"/>
    <x v="306"/>
    <n v="4"/>
    <n v="0.2"/>
    <n v="30.979999999999993"/>
  </r>
  <r>
    <x v="377"/>
    <x v="169"/>
    <d v="2017-08-27T00:00:00"/>
    <s v="9"/>
    <x v="3"/>
    <s v="90102017"/>
    <x v="1"/>
    <s v="AR-10405"/>
    <x v="153"/>
    <x v="1"/>
    <x v="47"/>
    <x v="47"/>
    <x v="31"/>
    <n v="2038"/>
    <x v="3"/>
    <s v="FUR-TA-10004915"/>
    <x v="0"/>
    <x v="3"/>
    <x v="335"/>
    <x v="359"/>
    <n v="7"/>
    <n v="0.3"/>
    <n v="-297.68479999999983"/>
  </r>
  <r>
    <x v="378"/>
    <x v="170"/>
    <d v="2015-04-28T00:00:00"/>
    <s v="5"/>
    <x v="1"/>
    <s v="50502015"/>
    <x v="1"/>
    <s v="RA-19915"/>
    <x v="154"/>
    <x v="0"/>
    <x v="12"/>
    <x v="12"/>
    <x v="5"/>
    <n v="77095"/>
    <x v="2"/>
    <s v="OFF-AP-10000696"/>
    <x v="1"/>
    <x v="9"/>
    <x v="336"/>
    <x v="360"/>
    <n v="3"/>
    <n v="0.8"/>
    <n v="-20.332200000000007"/>
  </r>
  <r>
    <x v="379"/>
    <x v="170"/>
    <d v="2015-04-28T00:00:00"/>
    <s v="5"/>
    <x v="1"/>
    <s v="50502015"/>
    <x v="1"/>
    <s v="RA-19915"/>
    <x v="154"/>
    <x v="0"/>
    <x v="12"/>
    <x v="12"/>
    <x v="5"/>
    <n v="77095"/>
    <x v="2"/>
    <s v="OFF-ST-10003327"/>
    <x v="1"/>
    <x v="4"/>
    <x v="337"/>
    <x v="361"/>
    <n v="3"/>
    <n v="0.2"/>
    <n v="2.6810999999999954"/>
  </r>
  <r>
    <x v="380"/>
    <x v="170"/>
    <d v="2015-04-28T00:00:00"/>
    <s v="5"/>
    <x v="1"/>
    <s v="50502015"/>
    <x v="1"/>
    <s v="RA-19915"/>
    <x v="154"/>
    <x v="0"/>
    <x v="12"/>
    <x v="12"/>
    <x v="5"/>
    <n v="77095"/>
    <x v="2"/>
    <s v="OFF-BI-10000309"/>
    <x v="1"/>
    <x v="8"/>
    <x v="338"/>
    <x v="362"/>
    <n v="4"/>
    <n v="0.8"/>
    <n v="-18.872800000000009"/>
  </r>
  <r>
    <x v="381"/>
    <x v="171"/>
    <d v="2016-10-28T00:00:00"/>
    <s v="1"/>
    <x v="0"/>
    <s v="1002902016"/>
    <x v="2"/>
    <s v="AS-10285"/>
    <x v="155"/>
    <x v="1"/>
    <x v="8"/>
    <x v="8"/>
    <x v="1"/>
    <n v="94109"/>
    <x v="1"/>
    <s v="OFF-PA-10004734"/>
    <x v="1"/>
    <x v="10"/>
    <x v="339"/>
    <x v="363"/>
    <n v="7"/>
    <n v="0"/>
    <n v="25.48"/>
  </r>
  <r>
    <x v="382"/>
    <x v="171"/>
    <d v="2016-10-28T00:00:00"/>
    <s v="1"/>
    <x v="0"/>
    <s v="1002902016"/>
    <x v="2"/>
    <s v="AS-10285"/>
    <x v="155"/>
    <x v="1"/>
    <x v="8"/>
    <x v="8"/>
    <x v="1"/>
    <n v="94109"/>
    <x v="1"/>
    <s v="OFF-BI-10002225"/>
    <x v="1"/>
    <x v="8"/>
    <x v="340"/>
    <x v="364"/>
    <n v="3"/>
    <n v="0.2"/>
    <n v="17.337599999999998"/>
  </r>
  <r>
    <x v="383"/>
    <x v="172"/>
    <d v="2015-06-26T00:00:00"/>
    <s v="6"/>
    <x v="1"/>
    <s v="602902015"/>
    <x v="0"/>
    <s v="LA-16780"/>
    <x v="156"/>
    <x v="1"/>
    <x v="79"/>
    <x v="79"/>
    <x v="12"/>
    <n v="48180"/>
    <x v="2"/>
    <s v="TEC-AC-10004708"/>
    <x v="2"/>
    <x v="11"/>
    <x v="341"/>
    <x v="365"/>
    <n v="2"/>
    <n v="0"/>
    <n v="8.7989999999999995"/>
  </r>
  <r>
    <x v="384"/>
    <x v="173"/>
    <d v="2015-11-27T00:00:00"/>
    <s v="12"/>
    <x v="1"/>
    <s v="120202015"/>
    <x v="1"/>
    <s v="DO-13435"/>
    <x v="157"/>
    <x v="0"/>
    <x v="95"/>
    <x v="95"/>
    <x v="2"/>
    <n v="33024"/>
    <x v="0"/>
    <s v="FUR-TA-10000617"/>
    <x v="0"/>
    <x v="3"/>
    <x v="342"/>
    <x v="366"/>
    <n v="3"/>
    <n v="0.45"/>
    <n v="-157.00949999999997"/>
  </r>
  <r>
    <x v="385"/>
    <x v="173"/>
    <d v="2015-11-27T00:00:00"/>
    <s v="12"/>
    <x v="1"/>
    <s v="120202015"/>
    <x v="1"/>
    <s v="DO-13435"/>
    <x v="157"/>
    <x v="0"/>
    <x v="95"/>
    <x v="95"/>
    <x v="2"/>
    <n v="33024"/>
    <x v="0"/>
    <s v="TEC-AC-10002335"/>
    <x v="2"/>
    <x v="11"/>
    <x v="343"/>
    <x v="367"/>
    <n v="3"/>
    <n v="0.2"/>
    <n v="-1.049700000000005"/>
  </r>
  <r>
    <x v="386"/>
    <x v="174"/>
    <d v="2015-12-03T00:00:00"/>
    <s v="12"/>
    <x v="1"/>
    <s v="120702015"/>
    <x v="1"/>
    <s v="DK-13225"/>
    <x v="158"/>
    <x v="1"/>
    <x v="10"/>
    <x v="10"/>
    <x v="9"/>
    <n v="19140"/>
    <x v="3"/>
    <s v="TEC-MA-10001681"/>
    <x v="2"/>
    <x v="15"/>
    <x v="344"/>
    <x v="368"/>
    <n v="4"/>
    <n v="0.7"/>
    <n v="-337.63799999999981"/>
  </r>
  <r>
    <x v="387"/>
    <x v="174"/>
    <d v="2015-12-03T00:00:00"/>
    <s v="12"/>
    <x v="1"/>
    <s v="120702015"/>
    <x v="1"/>
    <s v="DK-13225"/>
    <x v="158"/>
    <x v="1"/>
    <x v="10"/>
    <x v="10"/>
    <x v="9"/>
    <n v="19140"/>
    <x v="3"/>
    <s v="FUR-FU-10001935"/>
    <x v="0"/>
    <x v="5"/>
    <x v="345"/>
    <x v="369"/>
    <n v="1"/>
    <n v="0.2"/>
    <n v="0.77700000000000025"/>
  </r>
  <r>
    <x v="388"/>
    <x v="175"/>
    <d v="2014-11-24T00:00:00"/>
    <s v="11"/>
    <x v="2"/>
    <s v="1102602014"/>
    <x v="2"/>
    <s v="NG-18430"/>
    <x v="159"/>
    <x v="0"/>
    <x v="74"/>
    <x v="74"/>
    <x v="24"/>
    <n v="45231"/>
    <x v="3"/>
    <s v="OFF-AR-10004757"/>
    <x v="1"/>
    <x v="6"/>
    <x v="346"/>
    <x v="370"/>
    <n v="1"/>
    <n v="0.2"/>
    <n v="0.42639999999999978"/>
  </r>
  <r>
    <x v="389"/>
    <x v="176"/>
    <d v="2017-12-11T00:00:00"/>
    <s v="12"/>
    <x v="3"/>
    <s v="1201502017"/>
    <x v="1"/>
    <s v="MV-18190"/>
    <x v="160"/>
    <x v="0"/>
    <x v="20"/>
    <x v="20"/>
    <x v="15"/>
    <n v="10009"/>
    <x v="3"/>
    <s v="OFF-BI-10000050"/>
    <x v="1"/>
    <x v="8"/>
    <x v="347"/>
    <x v="371"/>
    <n v="4"/>
    <n v="0.2"/>
    <n v="7.8839999999999986"/>
  </r>
  <r>
    <x v="390"/>
    <x v="176"/>
    <d v="2017-12-11T00:00:00"/>
    <s v="12"/>
    <x v="3"/>
    <s v="1201502017"/>
    <x v="1"/>
    <s v="MV-18190"/>
    <x v="160"/>
    <x v="0"/>
    <x v="20"/>
    <x v="20"/>
    <x v="15"/>
    <n v="10009"/>
    <x v="3"/>
    <s v="TEC-AC-10001998"/>
    <x v="2"/>
    <x v="11"/>
    <x v="84"/>
    <x v="372"/>
    <n v="2"/>
    <n v="0"/>
    <n v="13.593199999999996"/>
  </r>
  <r>
    <x v="391"/>
    <x v="177"/>
    <d v="2014-09-21T00:00:00"/>
    <s v="9"/>
    <x v="2"/>
    <s v="902302014"/>
    <x v="0"/>
    <s v="JG-15115"/>
    <x v="161"/>
    <x v="0"/>
    <x v="96"/>
    <x v="96"/>
    <x v="4"/>
    <n v="98198"/>
    <x v="1"/>
    <s v="TEC-PH-10003012"/>
    <x v="2"/>
    <x v="7"/>
    <x v="348"/>
    <x v="373"/>
    <n v="2"/>
    <n v="0.2"/>
    <n v="27.718199999999968"/>
  </r>
  <r>
    <x v="392"/>
    <x v="177"/>
    <d v="2014-09-21T00:00:00"/>
    <s v="9"/>
    <x v="2"/>
    <s v="902302014"/>
    <x v="0"/>
    <s v="JG-15115"/>
    <x v="161"/>
    <x v="0"/>
    <x v="96"/>
    <x v="96"/>
    <x v="4"/>
    <n v="98198"/>
    <x v="1"/>
    <s v="TEC-CO-10002313"/>
    <x v="2"/>
    <x v="16"/>
    <x v="349"/>
    <x v="374"/>
    <n v="3"/>
    <n v="0"/>
    <n v="701.98829999999998"/>
  </r>
  <r>
    <x v="393"/>
    <x v="178"/>
    <d v="2014-06-07T00:00:00"/>
    <s v="6"/>
    <x v="2"/>
    <s v="601002014"/>
    <x v="0"/>
    <s v="BP-11095"/>
    <x v="162"/>
    <x v="1"/>
    <x v="97"/>
    <x v="97"/>
    <x v="10"/>
    <n v="61604"/>
    <x v="2"/>
    <s v="OFF-BI-10003982"/>
    <x v="1"/>
    <x v="8"/>
    <x v="350"/>
    <x v="375"/>
    <n v="3"/>
    <n v="0.8"/>
    <n v="-20.5623"/>
  </r>
  <r>
    <x v="394"/>
    <x v="179"/>
    <d v="2017-06-30T00:00:00"/>
    <s v="7"/>
    <x v="3"/>
    <s v="70502017"/>
    <x v="1"/>
    <s v="VP-21730"/>
    <x v="163"/>
    <x v="2"/>
    <x v="98"/>
    <x v="98"/>
    <x v="33"/>
    <n v="89115"/>
    <x v="1"/>
    <s v="OFF-BI-10004492"/>
    <x v="1"/>
    <x v="8"/>
    <x v="351"/>
    <x v="376"/>
    <n v="3"/>
    <n v="0.2"/>
    <n v="25.579799999999992"/>
  </r>
  <r>
    <x v="395"/>
    <x v="180"/>
    <d v="2017-10-17T00:00:00"/>
    <s v="1"/>
    <x v="3"/>
    <s v="1001902017"/>
    <x v="0"/>
    <s v="SS-20140"/>
    <x v="164"/>
    <x v="1"/>
    <x v="99"/>
    <x v="99"/>
    <x v="34"/>
    <n v="2886"/>
    <x v="3"/>
    <s v="OFF-ST-10000798"/>
    <x v="1"/>
    <x v="4"/>
    <x v="352"/>
    <x v="377"/>
    <n v="2"/>
    <n v="0"/>
    <n v="9.4923999999999964"/>
  </r>
  <r>
    <x v="396"/>
    <x v="180"/>
    <d v="2017-10-17T00:00:00"/>
    <s v="1"/>
    <x v="3"/>
    <s v="1001902017"/>
    <x v="0"/>
    <s v="SS-20140"/>
    <x v="164"/>
    <x v="1"/>
    <x v="99"/>
    <x v="99"/>
    <x v="34"/>
    <n v="2886"/>
    <x v="3"/>
    <s v="OFF-PA-10002552"/>
    <x v="1"/>
    <x v="10"/>
    <x v="353"/>
    <x v="91"/>
    <n v="2"/>
    <n v="0"/>
    <n v="6.2208000000000006"/>
  </r>
  <r>
    <x v="397"/>
    <x v="181"/>
    <d v="2015-10-31T00:00:00"/>
    <s v="11"/>
    <x v="1"/>
    <s v="110402015"/>
    <x v="1"/>
    <s v="HP-14815"/>
    <x v="6"/>
    <x v="2"/>
    <x v="25"/>
    <x v="25"/>
    <x v="12"/>
    <n v="49201"/>
    <x v="2"/>
    <s v="OFF-SU-10002573"/>
    <x v="1"/>
    <x v="14"/>
    <x v="354"/>
    <x v="378"/>
    <n v="4"/>
    <n v="0"/>
    <n v="21.035999999999994"/>
  </r>
  <r>
    <x v="398"/>
    <x v="182"/>
    <d v="2016-09-08T00:00:00"/>
    <s v="9"/>
    <x v="0"/>
    <s v="901002016"/>
    <x v="0"/>
    <s v="AG-10675"/>
    <x v="165"/>
    <x v="0"/>
    <x v="12"/>
    <x v="12"/>
    <x v="5"/>
    <n v="77036"/>
    <x v="2"/>
    <s v="OFF-ST-10001580"/>
    <x v="1"/>
    <x v="4"/>
    <x v="355"/>
    <x v="379"/>
    <n v="3"/>
    <n v="0.2"/>
    <n v="3.5951999999999984"/>
  </r>
  <r>
    <x v="399"/>
    <x v="182"/>
    <d v="2016-09-08T00:00:00"/>
    <s v="9"/>
    <x v="0"/>
    <s v="901002016"/>
    <x v="0"/>
    <s v="AG-10675"/>
    <x v="165"/>
    <x v="0"/>
    <x v="12"/>
    <x v="12"/>
    <x v="5"/>
    <n v="77036"/>
    <x v="2"/>
    <s v="FUR-BO-10004834"/>
    <x v="0"/>
    <x v="0"/>
    <x v="26"/>
    <x v="380"/>
    <n v="4"/>
    <n v="0.32"/>
    <n v="-317.15280000000007"/>
  </r>
  <r>
    <x v="400"/>
    <x v="182"/>
    <d v="2016-09-08T00:00:00"/>
    <s v="9"/>
    <x v="0"/>
    <s v="901002016"/>
    <x v="0"/>
    <s v="AG-10675"/>
    <x v="165"/>
    <x v="0"/>
    <x v="12"/>
    <x v="12"/>
    <x v="5"/>
    <n v="77036"/>
    <x v="2"/>
    <s v="OFF-ST-10000934"/>
    <x v="1"/>
    <x v="4"/>
    <x v="356"/>
    <x v="381"/>
    <n v="4"/>
    <n v="0.2"/>
    <n v="-32.783999999999999"/>
  </r>
  <r>
    <x v="401"/>
    <x v="182"/>
    <d v="2016-09-08T00:00:00"/>
    <s v="9"/>
    <x v="0"/>
    <s v="901002016"/>
    <x v="0"/>
    <s v="AG-10675"/>
    <x v="165"/>
    <x v="0"/>
    <x v="12"/>
    <x v="12"/>
    <x v="5"/>
    <n v="77036"/>
    <x v="2"/>
    <s v="TEC-AC-10000158"/>
    <x v="2"/>
    <x v="11"/>
    <x v="357"/>
    <x v="382"/>
    <n v="2"/>
    <n v="0.2"/>
    <n v="0.71979999999999933"/>
  </r>
  <r>
    <x v="402"/>
    <x v="183"/>
    <d v="2014-12-24T00:00:00"/>
    <s v="12"/>
    <x v="2"/>
    <s v="1202602014"/>
    <x v="2"/>
    <s v="LF-17185"/>
    <x v="166"/>
    <x v="0"/>
    <x v="100"/>
    <x v="100"/>
    <x v="2"/>
    <n v="33180"/>
    <x v="0"/>
    <s v="OFF-PA-10001947"/>
    <x v="1"/>
    <x v="10"/>
    <x v="358"/>
    <x v="383"/>
    <n v="2"/>
    <n v="0.2"/>
    <n v="3.4683999999999999"/>
  </r>
  <r>
    <x v="403"/>
    <x v="184"/>
    <d v="2014-04-16T00:00:00"/>
    <s v="4"/>
    <x v="2"/>
    <s v="402002014"/>
    <x v="1"/>
    <s v="SP-20650"/>
    <x v="70"/>
    <x v="1"/>
    <x v="40"/>
    <x v="40"/>
    <x v="3"/>
    <n v="28403"/>
    <x v="0"/>
    <s v="OFF-AR-10003478"/>
    <x v="1"/>
    <x v="6"/>
    <x v="359"/>
    <x v="384"/>
    <n v="6"/>
    <n v="0.2"/>
    <n v="9.7680000000000007"/>
  </r>
  <r>
    <x v="404"/>
    <x v="185"/>
    <d v="2017-12-24T00:00:00"/>
    <s v="12"/>
    <x v="3"/>
    <s v="1202902017"/>
    <x v="1"/>
    <s v="RF-19840"/>
    <x v="167"/>
    <x v="0"/>
    <x v="20"/>
    <x v="20"/>
    <x v="15"/>
    <n v="10024"/>
    <x v="3"/>
    <s v="OFF-AP-10004249"/>
    <x v="1"/>
    <x v="9"/>
    <x v="360"/>
    <x v="385"/>
    <n v="3"/>
    <n v="0"/>
    <n v="9.6956999999999987"/>
  </r>
  <r>
    <x v="405"/>
    <x v="186"/>
    <d v="2017-12-08T00:00:00"/>
    <s v="12"/>
    <x v="3"/>
    <s v="1201202017"/>
    <x v="1"/>
    <s v="KH-16510"/>
    <x v="168"/>
    <x v="0"/>
    <x v="8"/>
    <x v="8"/>
    <x v="1"/>
    <n v="94110"/>
    <x v="1"/>
    <s v="TEC-AC-10000158"/>
    <x v="2"/>
    <x v="11"/>
    <x v="357"/>
    <x v="386"/>
    <n v="5"/>
    <n v="0"/>
    <n v="37.789500000000004"/>
  </r>
  <r>
    <x v="406"/>
    <x v="186"/>
    <d v="2017-12-08T00:00:00"/>
    <s v="12"/>
    <x v="3"/>
    <s v="1201202017"/>
    <x v="1"/>
    <s v="KH-16510"/>
    <x v="168"/>
    <x v="0"/>
    <x v="8"/>
    <x v="8"/>
    <x v="1"/>
    <n v="94110"/>
    <x v="1"/>
    <s v="TEC-CO-10004115"/>
    <x v="2"/>
    <x v="16"/>
    <x v="361"/>
    <x v="387"/>
    <n v="3"/>
    <n v="0.2"/>
    <n v="434.99130000000002"/>
  </r>
  <r>
    <x v="407"/>
    <x v="186"/>
    <d v="2017-12-08T00:00:00"/>
    <s v="12"/>
    <x v="3"/>
    <s v="1201202017"/>
    <x v="1"/>
    <s v="KH-16510"/>
    <x v="168"/>
    <x v="0"/>
    <x v="8"/>
    <x v="8"/>
    <x v="1"/>
    <n v="94110"/>
    <x v="1"/>
    <s v="OFF-PA-10003724"/>
    <x v="1"/>
    <x v="10"/>
    <x v="362"/>
    <x v="388"/>
    <n v="5"/>
    <n v="0"/>
    <n v="13.3035"/>
  </r>
  <r>
    <x v="408"/>
    <x v="186"/>
    <d v="2017-12-08T00:00:00"/>
    <s v="12"/>
    <x v="3"/>
    <s v="1201202017"/>
    <x v="1"/>
    <s v="KH-16510"/>
    <x v="168"/>
    <x v="0"/>
    <x v="8"/>
    <x v="8"/>
    <x v="1"/>
    <n v="94110"/>
    <x v="1"/>
    <s v="FUR-TA-10002041"/>
    <x v="0"/>
    <x v="3"/>
    <x v="363"/>
    <x v="389"/>
    <n v="7"/>
    <n v="0.2"/>
    <n v="-112.95269999999994"/>
  </r>
  <r>
    <x v="409"/>
    <x v="186"/>
    <d v="2017-12-08T00:00:00"/>
    <s v="12"/>
    <x v="3"/>
    <s v="1201202017"/>
    <x v="1"/>
    <s v="KH-16510"/>
    <x v="168"/>
    <x v="0"/>
    <x v="8"/>
    <x v="8"/>
    <x v="1"/>
    <n v="94110"/>
    <x v="1"/>
    <s v="OFF-PA-10002893"/>
    <x v="1"/>
    <x v="10"/>
    <x v="364"/>
    <x v="390"/>
    <n v="1"/>
    <n v="0"/>
    <n v="4.6463999999999999"/>
  </r>
  <r>
    <x v="410"/>
    <x v="186"/>
    <d v="2017-12-08T00:00:00"/>
    <s v="12"/>
    <x v="3"/>
    <s v="1201202017"/>
    <x v="1"/>
    <s v="KH-16510"/>
    <x v="168"/>
    <x v="0"/>
    <x v="8"/>
    <x v="8"/>
    <x v="1"/>
    <n v="94110"/>
    <x v="1"/>
    <s v="OFF-LA-10003766"/>
    <x v="1"/>
    <x v="2"/>
    <x v="365"/>
    <x v="391"/>
    <n v="9"/>
    <n v="0"/>
    <n v="13.608000000000001"/>
  </r>
  <r>
    <x v="411"/>
    <x v="186"/>
    <d v="2017-12-08T00:00:00"/>
    <s v="12"/>
    <x v="3"/>
    <s v="1201202017"/>
    <x v="1"/>
    <s v="KH-16510"/>
    <x v="168"/>
    <x v="0"/>
    <x v="8"/>
    <x v="8"/>
    <x v="1"/>
    <n v="94110"/>
    <x v="1"/>
    <s v="OFF-PA-10001970"/>
    <x v="1"/>
    <x v="10"/>
    <x v="366"/>
    <x v="392"/>
    <n v="1"/>
    <n v="0"/>
    <n v="27.430199999999999"/>
  </r>
  <r>
    <x v="412"/>
    <x v="186"/>
    <d v="2017-12-08T00:00:00"/>
    <s v="12"/>
    <x v="3"/>
    <s v="1201202017"/>
    <x v="1"/>
    <s v="KH-16510"/>
    <x v="168"/>
    <x v="0"/>
    <x v="8"/>
    <x v="8"/>
    <x v="1"/>
    <n v="94110"/>
    <x v="1"/>
    <s v="FUR-BO-10001972"/>
    <x v="0"/>
    <x v="0"/>
    <x v="367"/>
    <x v="393"/>
    <n v="13"/>
    <n v="0.15"/>
    <n v="31.454799999999949"/>
  </r>
  <r>
    <x v="413"/>
    <x v="186"/>
    <d v="2017-12-08T00:00:00"/>
    <s v="12"/>
    <x v="3"/>
    <s v="1201202017"/>
    <x v="1"/>
    <s v="KH-16510"/>
    <x v="168"/>
    <x v="0"/>
    <x v="8"/>
    <x v="8"/>
    <x v="1"/>
    <n v="94110"/>
    <x v="1"/>
    <s v="FUR-CH-10003956"/>
    <x v="0"/>
    <x v="1"/>
    <x v="368"/>
    <x v="394"/>
    <n v="2"/>
    <n v="0.2"/>
    <n v="-18.454800000000013"/>
  </r>
  <r>
    <x v="414"/>
    <x v="187"/>
    <d v="2017-11-03T00:00:00"/>
    <s v="11"/>
    <x v="3"/>
    <s v="110702017"/>
    <x v="1"/>
    <s v="KC-16675"/>
    <x v="169"/>
    <x v="1"/>
    <x v="4"/>
    <x v="4"/>
    <x v="4"/>
    <n v="98105"/>
    <x v="1"/>
    <s v="OFF-PA-10000157"/>
    <x v="1"/>
    <x v="10"/>
    <x v="369"/>
    <x v="395"/>
    <n v="7"/>
    <n v="0"/>
    <n v="65.734199999999987"/>
  </r>
  <r>
    <x v="415"/>
    <x v="187"/>
    <d v="2017-11-03T00:00:00"/>
    <s v="11"/>
    <x v="3"/>
    <s v="110702017"/>
    <x v="1"/>
    <s v="KC-16675"/>
    <x v="169"/>
    <x v="1"/>
    <x v="4"/>
    <x v="4"/>
    <x v="4"/>
    <n v="98105"/>
    <x v="1"/>
    <s v="FUR-CH-10001891"/>
    <x v="0"/>
    <x v="1"/>
    <x v="268"/>
    <x v="396"/>
    <n v="4"/>
    <n v="0.2"/>
    <n v="26.874400000000023"/>
  </r>
  <r>
    <x v="416"/>
    <x v="188"/>
    <d v="2017-06-24T00:00:00"/>
    <s v="6"/>
    <x v="3"/>
    <s v="602802017"/>
    <x v="1"/>
    <s v="CJ-12010"/>
    <x v="170"/>
    <x v="0"/>
    <x v="101"/>
    <x v="101"/>
    <x v="1"/>
    <n v="92646"/>
    <x v="1"/>
    <s v="OFF-AR-10004344"/>
    <x v="1"/>
    <x v="6"/>
    <x v="370"/>
    <x v="397"/>
    <n v="8"/>
    <n v="0"/>
    <n v="25.898399999999995"/>
  </r>
  <r>
    <x v="417"/>
    <x v="189"/>
    <d v="2016-04-14T00:00:00"/>
    <s v="4"/>
    <x v="0"/>
    <s v="401802016"/>
    <x v="1"/>
    <s v="PB-19150"/>
    <x v="171"/>
    <x v="0"/>
    <x v="1"/>
    <x v="1"/>
    <x v="1"/>
    <n v="90004"/>
    <x v="1"/>
    <s v="FUR-CH-10004886"/>
    <x v="0"/>
    <x v="1"/>
    <x v="371"/>
    <x v="398"/>
    <n v="5"/>
    <n v="0.2"/>
    <n v="38.379999999999981"/>
  </r>
  <r>
    <x v="418"/>
    <x v="190"/>
    <d v="2017-11-06T00:00:00"/>
    <s v="11"/>
    <x v="3"/>
    <s v="1101002017"/>
    <x v="1"/>
    <s v="VB-21745"/>
    <x v="146"/>
    <x v="1"/>
    <x v="102"/>
    <x v="102"/>
    <x v="0"/>
    <n v="40475"/>
    <x v="0"/>
    <s v="OFF-PA-10003845"/>
    <x v="1"/>
    <x v="10"/>
    <x v="372"/>
    <x v="399"/>
    <n v="1"/>
    <n v="0"/>
    <n v="2.8322000000000003"/>
  </r>
  <r>
    <x v="419"/>
    <x v="191"/>
    <d v="2017-03-04T00:00:00"/>
    <s v="3"/>
    <x v="3"/>
    <s v="30902017"/>
    <x v="1"/>
    <s v="SP-20860"/>
    <x v="133"/>
    <x v="1"/>
    <x v="1"/>
    <x v="1"/>
    <x v="1"/>
    <n v="90045"/>
    <x v="1"/>
    <s v="OFF-AR-10001573"/>
    <x v="1"/>
    <x v="6"/>
    <x v="373"/>
    <x v="400"/>
    <n v="4"/>
    <n v="0"/>
    <n v="2.702799999999999"/>
  </r>
  <r>
    <x v="420"/>
    <x v="191"/>
    <d v="2017-03-04T00:00:00"/>
    <s v="3"/>
    <x v="3"/>
    <s v="30902017"/>
    <x v="1"/>
    <s v="SP-20860"/>
    <x v="133"/>
    <x v="1"/>
    <x v="1"/>
    <x v="1"/>
    <x v="1"/>
    <n v="90045"/>
    <x v="1"/>
    <s v="OFF-EN-10000483"/>
    <x v="1"/>
    <x v="12"/>
    <x v="374"/>
    <x v="401"/>
    <n v="1"/>
    <n v="0"/>
    <n v="7.0149999999999988"/>
  </r>
  <r>
    <x v="421"/>
    <x v="192"/>
    <d v="2014-06-22T00:00:00"/>
    <s v="6"/>
    <x v="2"/>
    <s v="602502014"/>
    <x v="2"/>
    <s v="JE-15745"/>
    <x v="32"/>
    <x v="0"/>
    <x v="103"/>
    <x v="103"/>
    <x v="22"/>
    <n v="80027"/>
    <x v="1"/>
    <s v="TEC-AC-10004114"/>
    <x v="2"/>
    <x v="11"/>
    <x v="375"/>
    <x v="402"/>
    <n v="6"/>
    <n v="0.2"/>
    <n v="56.566200000000009"/>
  </r>
  <r>
    <x v="422"/>
    <x v="193"/>
    <d v="2017-10-19T00:00:00"/>
    <s v="1"/>
    <x v="3"/>
    <s v="1002302017"/>
    <x v="1"/>
    <s v="MP-17965"/>
    <x v="172"/>
    <x v="1"/>
    <x v="104"/>
    <x v="104"/>
    <x v="31"/>
    <n v="1841"/>
    <x v="3"/>
    <s v="FUR-FU-10004712"/>
    <x v="0"/>
    <x v="5"/>
    <x v="376"/>
    <x v="403"/>
    <n v="4"/>
    <n v="0"/>
    <n v="14.705600000000004"/>
  </r>
  <r>
    <x v="423"/>
    <x v="193"/>
    <d v="2017-10-19T00:00:00"/>
    <s v="1"/>
    <x v="3"/>
    <s v="1002302017"/>
    <x v="1"/>
    <s v="MP-17965"/>
    <x v="172"/>
    <x v="1"/>
    <x v="104"/>
    <x v="104"/>
    <x v="31"/>
    <n v="1841"/>
    <x v="3"/>
    <s v="OFF-ST-10000918"/>
    <x v="1"/>
    <x v="4"/>
    <x v="377"/>
    <x v="404"/>
    <n v="3"/>
    <n v="0"/>
    <n v="8.5019999999999989"/>
  </r>
  <r>
    <x v="424"/>
    <x v="194"/>
    <d v="2017-08-21T00:00:00"/>
    <s v="8"/>
    <x v="3"/>
    <s v="802302017"/>
    <x v="0"/>
    <s v="NF-18385"/>
    <x v="173"/>
    <x v="0"/>
    <x v="25"/>
    <x v="25"/>
    <x v="35"/>
    <n v="39212"/>
    <x v="0"/>
    <s v="FUR-CH-10000015"/>
    <x v="0"/>
    <x v="1"/>
    <x v="378"/>
    <x v="405"/>
    <n v="4"/>
    <n v="0"/>
    <n v="225.26400000000001"/>
  </r>
  <r>
    <x v="425"/>
    <x v="195"/>
    <d v="2017-11-23T00:00:00"/>
    <s v="11"/>
    <x v="3"/>
    <s v="1102602017"/>
    <x v="0"/>
    <s v="JM-15265"/>
    <x v="25"/>
    <x v="1"/>
    <x v="105"/>
    <x v="105"/>
    <x v="12"/>
    <n v="48187"/>
    <x v="2"/>
    <s v="FUR-FU-10003347"/>
    <x v="0"/>
    <x v="5"/>
    <x v="379"/>
    <x v="158"/>
    <n v="2"/>
    <n v="0"/>
    <n v="11.076000000000001"/>
  </r>
  <r>
    <x v="426"/>
    <x v="195"/>
    <d v="2017-11-23T00:00:00"/>
    <s v="11"/>
    <x v="3"/>
    <s v="1102602017"/>
    <x v="0"/>
    <s v="JM-15265"/>
    <x v="25"/>
    <x v="1"/>
    <x v="105"/>
    <x v="105"/>
    <x v="12"/>
    <n v="48187"/>
    <x v="2"/>
    <s v="OFF-BI-10001543"/>
    <x v="1"/>
    <x v="8"/>
    <x v="380"/>
    <x v="406"/>
    <n v="8"/>
    <n v="0"/>
    <n v="138.20160000000001"/>
  </r>
  <r>
    <x v="427"/>
    <x v="196"/>
    <d v="2014-09-12T00:00:00"/>
    <s v="9"/>
    <x v="2"/>
    <s v="901302014"/>
    <x v="2"/>
    <s v="SD-20485"/>
    <x v="174"/>
    <x v="2"/>
    <x v="106"/>
    <x v="106"/>
    <x v="15"/>
    <n v="10801"/>
    <x v="3"/>
    <s v="TEC-MA-10000029"/>
    <x v="2"/>
    <x v="15"/>
    <x v="381"/>
    <x v="407"/>
    <n v="1"/>
    <n v="0"/>
    <n v="30.095700000000001"/>
  </r>
  <r>
    <x v="428"/>
    <x v="197"/>
    <d v="2017-10-01T00:00:00"/>
    <s v="1"/>
    <x v="3"/>
    <s v="100802017"/>
    <x v="1"/>
    <s v="KH-16630"/>
    <x v="175"/>
    <x v="1"/>
    <x v="52"/>
    <x v="52"/>
    <x v="5"/>
    <n v="78207"/>
    <x v="2"/>
    <s v="OFF-AR-10000369"/>
    <x v="1"/>
    <x v="6"/>
    <x v="382"/>
    <x v="408"/>
    <n v="6"/>
    <n v="0.2"/>
    <n v="0.50039999999999996"/>
  </r>
  <r>
    <x v="429"/>
    <x v="198"/>
    <d v="2016-04-15T00:00:00"/>
    <s v="4"/>
    <x v="0"/>
    <s v="402102016"/>
    <x v="1"/>
    <s v="RB-19795"/>
    <x v="176"/>
    <x v="2"/>
    <x v="107"/>
    <x v="107"/>
    <x v="3"/>
    <n v="28052"/>
    <x v="0"/>
    <s v="OFF-BI-10004584"/>
    <x v="1"/>
    <x v="8"/>
    <x v="383"/>
    <x v="409"/>
    <n v="2"/>
    <n v="0.7"/>
    <n v="-145.35079999999999"/>
  </r>
  <r>
    <x v="430"/>
    <x v="198"/>
    <d v="2016-04-15T00:00:00"/>
    <s v="4"/>
    <x v="0"/>
    <s v="402102016"/>
    <x v="1"/>
    <s v="RB-19795"/>
    <x v="176"/>
    <x v="2"/>
    <x v="107"/>
    <x v="107"/>
    <x v="3"/>
    <n v="28052"/>
    <x v="0"/>
    <s v="TEC-AC-10004659"/>
    <x v="2"/>
    <x v="11"/>
    <x v="172"/>
    <x v="177"/>
    <n v="7"/>
    <n v="0.2"/>
    <n v="76.639499999999984"/>
  </r>
  <r>
    <x v="431"/>
    <x v="198"/>
    <d v="2016-04-15T00:00:00"/>
    <s v="4"/>
    <x v="0"/>
    <s v="402102016"/>
    <x v="1"/>
    <s v="RB-19795"/>
    <x v="176"/>
    <x v="2"/>
    <x v="107"/>
    <x v="107"/>
    <x v="3"/>
    <n v="28052"/>
    <x v="0"/>
    <s v="TEC-AC-10004659"/>
    <x v="2"/>
    <x v="11"/>
    <x v="172"/>
    <x v="410"/>
    <n v="5"/>
    <n v="0.2"/>
    <n v="54.742499999999978"/>
  </r>
  <r>
    <x v="432"/>
    <x v="198"/>
    <d v="2016-04-15T00:00:00"/>
    <s v="4"/>
    <x v="0"/>
    <s v="402102016"/>
    <x v="1"/>
    <s v="RB-19795"/>
    <x v="176"/>
    <x v="2"/>
    <x v="107"/>
    <x v="107"/>
    <x v="3"/>
    <n v="28052"/>
    <x v="0"/>
    <s v="OFF-ST-10000617"/>
    <x v="1"/>
    <x v="4"/>
    <x v="384"/>
    <x v="411"/>
    <n v="2"/>
    <n v="0.2"/>
    <n v="-0.7748000000000006"/>
  </r>
  <r>
    <x v="433"/>
    <x v="199"/>
    <d v="2016-06-06T00:00:00"/>
    <s v="6"/>
    <x v="0"/>
    <s v="60702016"/>
    <x v="2"/>
    <s v="DB-13060"/>
    <x v="72"/>
    <x v="0"/>
    <x v="90"/>
    <x v="90"/>
    <x v="31"/>
    <n v="1852"/>
    <x v="3"/>
    <s v="OFF-ST-10003306"/>
    <x v="1"/>
    <x v="4"/>
    <x v="385"/>
    <x v="412"/>
    <n v="5"/>
    <n v="0"/>
    <n v="207.14699999999993"/>
  </r>
  <r>
    <x v="434"/>
    <x v="200"/>
    <d v="2014-12-19T00:00:00"/>
    <s v="12"/>
    <x v="2"/>
    <s v="1202502014"/>
    <x v="1"/>
    <s v="MK-18160"/>
    <x v="177"/>
    <x v="0"/>
    <x v="108"/>
    <x v="108"/>
    <x v="2"/>
    <n v="32216"/>
    <x v="0"/>
    <s v="OFF-BI-10000773"/>
    <x v="1"/>
    <x v="8"/>
    <x v="386"/>
    <x v="413"/>
    <n v="2"/>
    <n v="0.7"/>
    <n v="-3.6891999999999996"/>
  </r>
  <r>
    <x v="435"/>
    <x v="200"/>
    <d v="2014-12-19T00:00:00"/>
    <s v="12"/>
    <x v="2"/>
    <s v="1202502014"/>
    <x v="1"/>
    <s v="MK-18160"/>
    <x v="177"/>
    <x v="0"/>
    <x v="108"/>
    <x v="108"/>
    <x v="2"/>
    <n v="32216"/>
    <x v="0"/>
    <s v="TEC-AC-10002600"/>
    <x v="2"/>
    <x v="11"/>
    <x v="387"/>
    <x v="414"/>
    <n v="5"/>
    <n v="0.2"/>
    <n v="-18.584999999999994"/>
  </r>
  <r>
    <x v="436"/>
    <x v="201"/>
    <d v="2016-06-12T00:00:00"/>
    <s v="6"/>
    <x v="0"/>
    <s v="601402016"/>
    <x v="0"/>
    <s v="PO-19180"/>
    <x v="178"/>
    <x v="2"/>
    <x v="22"/>
    <x v="22"/>
    <x v="10"/>
    <n v="60623"/>
    <x v="2"/>
    <s v="TEC-MA-10002937"/>
    <x v="2"/>
    <x v="15"/>
    <x v="388"/>
    <x v="415"/>
    <n v="3"/>
    <n v="0.3"/>
    <n v="43.199100000000044"/>
  </r>
  <r>
    <x v="437"/>
    <x v="201"/>
    <d v="2016-06-12T00:00:00"/>
    <s v="6"/>
    <x v="0"/>
    <s v="601402016"/>
    <x v="0"/>
    <s v="PO-19180"/>
    <x v="178"/>
    <x v="2"/>
    <x v="22"/>
    <x v="22"/>
    <x v="10"/>
    <n v="60623"/>
    <x v="2"/>
    <s v="OFF-PA-10001970"/>
    <x v="1"/>
    <x v="10"/>
    <x v="366"/>
    <x v="416"/>
    <n v="7"/>
    <n v="0.2"/>
    <n v="113.63939999999998"/>
  </r>
  <r>
    <x v="438"/>
    <x v="202"/>
    <d v="2017-09-15T00:00:00"/>
    <s v="9"/>
    <x v="3"/>
    <s v="901902017"/>
    <x v="1"/>
    <s v="BB-11545"/>
    <x v="179"/>
    <x v="1"/>
    <x v="12"/>
    <x v="12"/>
    <x v="5"/>
    <n v="77070"/>
    <x v="2"/>
    <s v="OFF-PA-10002230"/>
    <x v="1"/>
    <x v="10"/>
    <x v="389"/>
    <x v="417"/>
    <n v="8"/>
    <n v="0.2"/>
    <n v="11.553600000000003"/>
  </r>
  <r>
    <x v="439"/>
    <x v="203"/>
    <d v="2017-01-20T00:00:00"/>
    <s v="1"/>
    <x v="3"/>
    <s v="102302017"/>
    <x v="0"/>
    <s v="CV-12805"/>
    <x v="51"/>
    <x v="1"/>
    <x v="20"/>
    <x v="20"/>
    <x v="15"/>
    <n v="10024"/>
    <x v="3"/>
    <s v="FUR-CH-10003396"/>
    <x v="0"/>
    <x v="1"/>
    <x v="390"/>
    <x v="418"/>
    <n v="3"/>
    <n v="0.1"/>
    <n v="2.3093999999999895"/>
  </r>
  <r>
    <x v="440"/>
    <x v="204"/>
    <d v="2016-09-05T00:00:00"/>
    <s v="9"/>
    <x v="0"/>
    <s v="90702016"/>
    <x v="0"/>
    <s v="PK-19075"/>
    <x v="7"/>
    <x v="0"/>
    <x v="66"/>
    <x v="66"/>
    <x v="12"/>
    <n v="48227"/>
    <x v="2"/>
    <s v="FUR-FU-10000246"/>
    <x v="0"/>
    <x v="5"/>
    <x v="391"/>
    <x v="419"/>
    <n v="1"/>
    <n v="0"/>
    <n v="3.6659999999999986"/>
  </r>
  <r>
    <x v="441"/>
    <x v="204"/>
    <d v="2016-09-05T00:00:00"/>
    <s v="9"/>
    <x v="0"/>
    <s v="90702016"/>
    <x v="0"/>
    <s v="PK-19075"/>
    <x v="7"/>
    <x v="0"/>
    <x v="66"/>
    <x v="66"/>
    <x v="12"/>
    <n v="48227"/>
    <x v="2"/>
    <s v="OFF-ST-10000060"/>
    <x v="1"/>
    <x v="4"/>
    <x v="392"/>
    <x v="420"/>
    <n v="3"/>
    <n v="0"/>
    <n v="23.392800000000008"/>
  </r>
  <r>
    <x v="442"/>
    <x v="204"/>
    <d v="2016-09-05T00:00:00"/>
    <s v="9"/>
    <x v="0"/>
    <s v="90702016"/>
    <x v="0"/>
    <s v="PK-19075"/>
    <x v="7"/>
    <x v="0"/>
    <x v="66"/>
    <x v="66"/>
    <x v="12"/>
    <n v="48227"/>
    <x v="2"/>
    <s v="OFF-ST-10003058"/>
    <x v="1"/>
    <x v="4"/>
    <x v="393"/>
    <x v="421"/>
    <n v="3"/>
    <n v="0"/>
    <n v="20.575499999999998"/>
  </r>
  <r>
    <x v="443"/>
    <x v="204"/>
    <d v="2016-09-05T00:00:00"/>
    <s v="9"/>
    <x v="0"/>
    <s v="90702016"/>
    <x v="0"/>
    <s v="PK-19075"/>
    <x v="7"/>
    <x v="0"/>
    <x v="66"/>
    <x v="66"/>
    <x v="12"/>
    <n v="48227"/>
    <x v="2"/>
    <s v="OFF-PA-10002222"/>
    <x v="1"/>
    <x v="10"/>
    <x v="394"/>
    <x v="422"/>
    <n v="4"/>
    <n v="0"/>
    <n v="42.025599999999997"/>
  </r>
  <r>
    <x v="444"/>
    <x v="204"/>
    <d v="2016-09-05T00:00:00"/>
    <s v="9"/>
    <x v="0"/>
    <s v="90702016"/>
    <x v="0"/>
    <s v="PK-19075"/>
    <x v="7"/>
    <x v="0"/>
    <x v="66"/>
    <x v="66"/>
    <x v="12"/>
    <n v="48227"/>
    <x v="2"/>
    <s v="FUR-CH-10002372"/>
    <x v="0"/>
    <x v="1"/>
    <x v="395"/>
    <x v="423"/>
    <n v="3"/>
    <n v="0"/>
    <n v="29.152800000000013"/>
  </r>
  <r>
    <x v="445"/>
    <x v="204"/>
    <d v="2016-09-05T00:00:00"/>
    <s v="9"/>
    <x v="0"/>
    <s v="90702016"/>
    <x v="0"/>
    <s v="PK-19075"/>
    <x v="7"/>
    <x v="0"/>
    <x v="66"/>
    <x v="66"/>
    <x v="12"/>
    <n v="48227"/>
    <x v="2"/>
    <s v="OFF-LA-10001317"/>
    <x v="1"/>
    <x v="2"/>
    <x v="396"/>
    <x v="424"/>
    <n v="7"/>
    <n v="0"/>
    <n v="10.584"/>
  </r>
  <r>
    <x v="446"/>
    <x v="205"/>
    <d v="2017-03-20T00:00:00"/>
    <s v="3"/>
    <x v="3"/>
    <s v="302502017"/>
    <x v="0"/>
    <s v="TB-21595"/>
    <x v="180"/>
    <x v="0"/>
    <x v="38"/>
    <x v="38"/>
    <x v="14"/>
    <n v="47201"/>
    <x v="2"/>
    <s v="FUR-FU-10000206"/>
    <x v="0"/>
    <x v="5"/>
    <x v="397"/>
    <x v="425"/>
    <n v="1"/>
    <n v="0"/>
    <n v="1.3676999999999999"/>
  </r>
  <r>
    <x v="447"/>
    <x v="206"/>
    <d v="2016-04-01T00:00:00"/>
    <s v="4"/>
    <x v="0"/>
    <s v="40302016"/>
    <x v="0"/>
    <s v="RB-19360"/>
    <x v="181"/>
    <x v="0"/>
    <x v="109"/>
    <x v="109"/>
    <x v="15"/>
    <n v="13021"/>
    <x v="3"/>
    <s v="OFF-AR-10000588"/>
    <x v="1"/>
    <x v="6"/>
    <x v="398"/>
    <x v="426"/>
    <n v="3"/>
    <n v="0"/>
    <n v="15.475200000000001"/>
  </r>
  <r>
    <x v="448"/>
    <x v="206"/>
    <d v="2016-04-01T00:00:00"/>
    <s v="4"/>
    <x v="0"/>
    <s v="40302016"/>
    <x v="0"/>
    <s v="RB-19360"/>
    <x v="181"/>
    <x v="0"/>
    <x v="109"/>
    <x v="109"/>
    <x v="15"/>
    <n v="13021"/>
    <x v="3"/>
    <s v="OFF-ST-10001469"/>
    <x v="1"/>
    <x v="4"/>
    <x v="399"/>
    <x v="427"/>
    <n v="3"/>
    <n v="0"/>
    <n v="9.716399999999993"/>
  </r>
  <r>
    <x v="449"/>
    <x v="206"/>
    <d v="2016-04-01T00:00:00"/>
    <s v="4"/>
    <x v="0"/>
    <s v="40302016"/>
    <x v="0"/>
    <s v="RB-19360"/>
    <x v="181"/>
    <x v="0"/>
    <x v="109"/>
    <x v="109"/>
    <x v="15"/>
    <n v="13021"/>
    <x v="3"/>
    <s v="OFF-AR-10001953"/>
    <x v="1"/>
    <x v="6"/>
    <x v="400"/>
    <x v="428"/>
    <n v="6"/>
    <n v="0"/>
    <n v="71.247600000000006"/>
  </r>
  <r>
    <x v="450"/>
    <x v="206"/>
    <d v="2016-04-01T00:00:00"/>
    <s v="4"/>
    <x v="0"/>
    <s v="40302016"/>
    <x v="0"/>
    <s v="RB-19360"/>
    <x v="181"/>
    <x v="0"/>
    <x v="109"/>
    <x v="109"/>
    <x v="15"/>
    <n v="13021"/>
    <x v="3"/>
    <s v="OFF-AR-10003156"/>
    <x v="1"/>
    <x v="6"/>
    <x v="401"/>
    <x v="429"/>
    <n v="3"/>
    <n v="0"/>
    <n v="7.9248000000000012"/>
  </r>
  <r>
    <x v="451"/>
    <x v="206"/>
    <d v="2016-04-01T00:00:00"/>
    <s v="4"/>
    <x v="0"/>
    <s v="40302016"/>
    <x v="0"/>
    <s v="RB-19360"/>
    <x v="181"/>
    <x v="0"/>
    <x v="109"/>
    <x v="109"/>
    <x v="15"/>
    <n v="13021"/>
    <x v="3"/>
    <s v="OFF-AR-10004974"/>
    <x v="1"/>
    <x v="6"/>
    <x v="402"/>
    <x v="296"/>
    <n v="3"/>
    <n v="0"/>
    <n v="2.8535999999999988"/>
  </r>
  <r>
    <x v="452"/>
    <x v="206"/>
    <d v="2016-04-01T00:00:00"/>
    <s v="4"/>
    <x v="0"/>
    <s v="40302016"/>
    <x v="0"/>
    <s v="RB-19360"/>
    <x v="181"/>
    <x v="0"/>
    <x v="109"/>
    <x v="109"/>
    <x v="15"/>
    <n v="13021"/>
    <x v="3"/>
    <s v="TEC-PH-10002365"/>
    <x v="2"/>
    <x v="7"/>
    <x v="403"/>
    <x v="430"/>
    <n v="4"/>
    <n v="0"/>
    <n v="9.1311999999999998"/>
  </r>
  <r>
    <x v="453"/>
    <x v="207"/>
    <d v="2017-10-20T00:00:00"/>
    <s v="1"/>
    <x v="3"/>
    <s v="1002402017"/>
    <x v="1"/>
    <s v="EB-13705"/>
    <x v="182"/>
    <x v="1"/>
    <x v="59"/>
    <x v="59"/>
    <x v="24"/>
    <n v="44312"/>
    <x v="3"/>
    <s v="FUR-TA-10001539"/>
    <x v="0"/>
    <x v="3"/>
    <x v="10"/>
    <x v="431"/>
    <n v="2"/>
    <n v="0.4"/>
    <n v="-75.830400000000054"/>
  </r>
  <r>
    <x v="454"/>
    <x v="207"/>
    <d v="2017-10-20T00:00:00"/>
    <s v="1"/>
    <x v="3"/>
    <s v="1002402017"/>
    <x v="1"/>
    <s v="EB-13705"/>
    <x v="182"/>
    <x v="1"/>
    <x v="59"/>
    <x v="59"/>
    <x v="24"/>
    <n v="44312"/>
    <x v="3"/>
    <s v="OFF-ST-10000142"/>
    <x v="1"/>
    <x v="4"/>
    <x v="404"/>
    <x v="432"/>
    <n v="2"/>
    <n v="0.2"/>
    <n v="66.540799999999962"/>
  </r>
  <r>
    <x v="455"/>
    <x v="208"/>
    <d v="2016-12-13T00:00:00"/>
    <s v="12"/>
    <x v="0"/>
    <s v="1201702016"/>
    <x v="1"/>
    <s v="KH-16630"/>
    <x v="175"/>
    <x v="1"/>
    <x v="110"/>
    <x v="110"/>
    <x v="26"/>
    <n v="73071"/>
    <x v="2"/>
    <s v="TEC-AC-10001772"/>
    <x v="2"/>
    <x v="11"/>
    <x v="405"/>
    <x v="433"/>
    <n v="4"/>
    <n v="0"/>
    <n v="24.913200000000003"/>
  </r>
  <r>
    <x v="456"/>
    <x v="209"/>
    <d v="2014-02-12T00:00:00"/>
    <s v="2"/>
    <x v="2"/>
    <s v="201802014"/>
    <x v="1"/>
    <s v="SC-20095"/>
    <x v="183"/>
    <x v="0"/>
    <x v="3"/>
    <x v="3"/>
    <x v="1"/>
    <n v="94521"/>
    <x v="1"/>
    <s v="FUR-CH-10000225"/>
    <x v="0"/>
    <x v="1"/>
    <x v="406"/>
    <x v="434"/>
    <n v="2"/>
    <n v="0.2"/>
    <n v="-24.294000000000018"/>
  </r>
  <r>
    <x v="457"/>
    <x v="210"/>
    <d v="2016-09-26T00:00:00"/>
    <s v="1"/>
    <x v="0"/>
    <s v="100102016"/>
    <x v="1"/>
    <s v="NF-18385"/>
    <x v="173"/>
    <x v="0"/>
    <x v="27"/>
    <x v="27"/>
    <x v="10"/>
    <n v="62521"/>
    <x v="2"/>
    <s v="FUR-CH-10002331"/>
    <x v="0"/>
    <x v="1"/>
    <x v="407"/>
    <x v="435"/>
    <n v="3"/>
    <n v="0.3"/>
    <n v="-96.11460000000011"/>
  </r>
  <r>
    <x v="458"/>
    <x v="210"/>
    <d v="2016-09-26T00:00:00"/>
    <s v="1"/>
    <x v="0"/>
    <s v="100102016"/>
    <x v="1"/>
    <s v="NF-18385"/>
    <x v="173"/>
    <x v="0"/>
    <x v="27"/>
    <x v="27"/>
    <x v="10"/>
    <n v="62521"/>
    <x v="2"/>
    <s v="OFF-EN-10001415"/>
    <x v="1"/>
    <x v="12"/>
    <x v="153"/>
    <x v="436"/>
    <n v="2"/>
    <n v="0.2"/>
    <n v="3.3479999999999999"/>
  </r>
  <r>
    <x v="459"/>
    <x v="211"/>
    <d v="2015-12-15T00:00:00"/>
    <s v="12"/>
    <x v="1"/>
    <s v="1202202015"/>
    <x v="1"/>
    <s v="JH-15985"/>
    <x v="98"/>
    <x v="0"/>
    <x v="4"/>
    <x v="4"/>
    <x v="4"/>
    <n v="98115"/>
    <x v="1"/>
    <s v="OFF-AP-10002472"/>
    <x v="1"/>
    <x v="9"/>
    <x v="408"/>
    <x v="437"/>
    <n v="4"/>
    <n v="0"/>
    <n v="36.372"/>
  </r>
  <r>
    <x v="460"/>
    <x v="211"/>
    <d v="2015-12-15T00:00:00"/>
    <s v="12"/>
    <x v="1"/>
    <s v="1202202015"/>
    <x v="1"/>
    <s v="JH-15985"/>
    <x v="98"/>
    <x v="0"/>
    <x v="4"/>
    <x v="4"/>
    <x v="4"/>
    <n v="98115"/>
    <x v="1"/>
    <s v="TEC-AC-10004571"/>
    <x v="2"/>
    <x v="11"/>
    <x v="409"/>
    <x v="438"/>
    <n v="9"/>
    <n v="0"/>
    <n v="377.96220000000005"/>
  </r>
  <r>
    <x v="461"/>
    <x v="211"/>
    <d v="2015-12-15T00:00:00"/>
    <s v="12"/>
    <x v="1"/>
    <s v="1202202015"/>
    <x v="1"/>
    <s v="JH-15985"/>
    <x v="98"/>
    <x v="0"/>
    <x v="4"/>
    <x v="4"/>
    <x v="4"/>
    <n v="98115"/>
    <x v="1"/>
    <s v="OFF-BI-10001098"/>
    <x v="1"/>
    <x v="8"/>
    <x v="410"/>
    <x v="96"/>
    <n v="3"/>
    <n v="0.2"/>
    <n v="18.600599999999996"/>
  </r>
  <r>
    <x v="462"/>
    <x v="212"/>
    <d v="2016-04-22T00:00:00"/>
    <s v="4"/>
    <x v="0"/>
    <s v="402902016"/>
    <x v="1"/>
    <s v="TN-21040"/>
    <x v="184"/>
    <x v="2"/>
    <x v="42"/>
    <x v="42"/>
    <x v="16"/>
    <n v="85023"/>
    <x v="1"/>
    <s v="FUR-FU-10000023"/>
    <x v="0"/>
    <x v="5"/>
    <x v="325"/>
    <x v="439"/>
    <n v="5"/>
    <n v="0.2"/>
    <n v="7.0680000000000005"/>
  </r>
  <r>
    <x v="463"/>
    <x v="212"/>
    <d v="2016-04-22T00:00:00"/>
    <s v="4"/>
    <x v="0"/>
    <s v="402902016"/>
    <x v="1"/>
    <s v="TN-21040"/>
    <x v="184"/>
    <x v="2"/>
    <x v="42"/>
    <x v="42"/>
    <x v="16"/>
    <n v="85023"/>
    <x v="1"/>
    <s v="FUR-TA-10001889"/>
    <x v="0"/>
    <x v="3"/>
    <x v="411"/>
    <x v="440"/>
    <n v="6"/>
    <n v="0.5"/>
    <n v="-814.4831999999999"/>
  </r>
  <r>
    <x v="464"/>
    <x v="212"/>
    <d v="2016-04-22T00:00:00"/>
    <s v="4"/>
    <x v="0"/>
    <s v="402902016"/>
    <x v="1"/>
    <s v="TN-21040"/>
    <x v="184"/>
    <x v="2"/>
    <x v="42"/>
    <x v="42"/>
    <x v="16"/>
    <n v="85023"/>
    <x v="1"/>
    <s v="OFF-BI-10000315"/>
    <x v="1"/>
    <x v="8"/>
    <x v="412"/>
    <x v="441"/>
    <n v="5"/>
    <n v="0.7"/>
    <n v="-20.888999999999989"/>
  </r>
  <r>
    <x v="465"/>
    <x v="212"/>
    <d v="2016-04-22T00:00:00"/>
    <s v="4"/>
    <x v="0"/>
    <s v="402902016"/>
    <x v="1"/>
    <s v="TN-21040"/>
    <x v="184"/>
    <x v="2"/>
    <x v="42"/>
    <x v="42"/>
    <x v="16"/>
    <n v="85023"/>
    <x v="1"/>
    <s v="OFF-SU-10003505"/>
    <x v="1"/>
    <x v="14"/>
    <x v="413"/>
    <x v="442"/>
    <n v="2"/>
    <n v="0.2"/>
    <n v="-34.758000000000017"/>
  </r>
  <r>
    <x v="466"/>
    <x v="212"/>
    <d v="2016-04-22T00:00:00"/>
    <s v="4"/>
    <x v="0"/>
    <s v="402902016"/>
    <x v="1"/>
    <s v="TN-21040"/>
    <x v="184"/>
    <x v="2"/>
    <x v="42"/>
    <x v="42"/>
    <x v="16"/>
    <n v="85023"/>
    <x v="1"/>
    <s v="OFF-AP-10002578"/>
    <x v="1"/>
    <x v="9"/>
    <x v="414"/>
    <x v="443"/>
    <n v="2"/>
    <n v="0.2"/>
    <n v="5.8704000000000001"/>
  </r>
  <r>
    <x v="467"/>
    <x v="213"/>
    <d v="2015-01-17T00:00:00"/>
    <s v="1"/>
    <x v="1"/>
    <s v="102402015"/>
    <x v="1"/>
    <s v="JS-15940"/>
    <x v="185"/>
    <x v="2"/>
    <x v="111"/>
    <x v="111"/>
    <x v="10"/>
    <n v="60068"/>
    <x v="2"/>
    <s v="FUR-FU-10002918"/>
    <x v="0"/>
    <x v="5"/>
    <x v="269"/>
    <x v="444"/>
    <n v="7"/>
    <n v="0.6"/>
    <n v="-312.06139999999994"/>
  </r>
  <r>
    <x v="468"/>
    <x v="214"/>
    <d v="2017-03-31T00:00:00"/>
    <s v="4"/>
    <x v="3"/>
    <s v="40402017"/>
    <x v="1"/>
    <s v="DS-13180"/>
    <x v="103"/>
    <x v="1"/>
    <x v="112"/>
    <x v="112"/>
    <x v="5"/>
    <n v="79109"/>
    <x v="2"/>
    <s v="FUR-BO-10002824"/>
    <x v="0"/>
    <x v="0"/>
    <x v="415"/>
    <x v="445"/>
    <n v="2"/>
    <n v="0.32"/>
    <n v="-36.235200000000006"/>
  </r>
  <r>
    <x v="469"/>
    <x v="215"/>
    <d v="2016-12-16T00:00:00"/>
    <s v="12"/>
    <x v="0"/>
    <s v="1202002016"/>
    <x v="0"/>
    <s v="CC-12670"/>
    <x v="113"/>
    <x v="0"/>
    <x v="22"/>
    <x v="22"/>
    <x v="10"/>
    <n v="60610"/>
    <x v="2"/>
    <s v="OFF-BI-10002194"/>
    <x v="1"/>
    <x v="8"/>
    <x v="416"/>
    <x v="446"/>
    <n v="3"/>
    <n v="0.8"/>
    <n v="-7.9001999999999999"/>
  </r>
  <r>
    <x v="470"/>
    <x v="216"/>
    <d v="2015-12-20T00:00:00"/>
    <s v="12"/>
    <x v="1"/>
    <s v="1202402015"/>
    <x v="1"/>
    <s v="MH-17785"/>
    <x v="186"/>
    <x v="1"/>
    <x v="113"/>
    <x v="113"/>
    <x v="15"/>
    <n v="11757"/>
    <x v="3"/>
    <s v="OFF-PA-10004071"/>
    <x v="1"/>
    <x v="10"/>
    <x v="417"/>
    <x v="447"/>
    <n v="1"/>
    <n v="0"/>
    <n v="26.630399999999998"/>
  </r>
  <r>
    <x v="471"/>
    <x v="217"/>
    <d v="2014-11-09T00:00:00"/>
    <s v="11"/>
    <x v="2"/>
    <s v="1101102014"/>
    <x v="0"/>
    <s v="JP-15520"/>
    <x v="187"/>
    <x v="0"/>
    <x v="8"/>
    <x v="8"/>
    <x v="1"/>
    <n v="94110"/>
    <x v="1"/>
    <s v="OFF-ST-10002743"/>
    <x v="1"/>
    <x v="4"/>
    <x v="418"/>
    <x v="448"/>
    <n v="3"/>
    <n v="0"/>
    <n v="3.4091999999999842"/>
  </r>
  <r>
    <x v="472"/>
    <x v="217"/>
    <d v="2014-11-09T00:00:00"/>
    <s v="11"/>
    <x v="2"/>
    <s v="1101102014"/>
    <x v="0"/>
    <s v="JP-15520"/>
    <x v="187"/>
    <x v="0"/>
    <x v="8"/>
    <x v="8"/>
    <x v="1"/>
    <n v="94110"/>
    <x v="1"/>
    <s v="FUR-BO-10001601"/>
    <x v="0"/>
    <x v="0"/>
    <x v="419"/>
    <x v="449"/>
    <n v="2"/>
    <n v="0.15"/>
    <n v="10.478399999999979"/>
  </r>
  <r>
    <x v="473"/>
    <x v="217"/>
    <d v="2014-11-09T00:00:00"/>
    <s v="11"/>
    <x v="2"/>
    <s v="1101102014"/>
    <x v="0"/>
    <s v="JP-15520"/>
    <x v="187"/>
    <x v="0"/>
    <x v="8"/>
    <x v="8"/>
    <x v="1"/>
    <n v="94110"/>
    <x v="1"/>
    <s v="TEC-PH-10002680"/>
    <x v="2"/>
    <x v="7"/>
    <x v="420"/>
    <x v="450"/>
    <n v="4"/>
    <n v="0.2"/>
    <n v="87.995999999999924"/>
  </r>
  <r>
    <x v="474"/>
    <x v="217"/>
    <d v="2014-11-09T00:00:00"/>
    <s v="11"/>
    <x v="2"/>
    <s v="1101102014"/>
    <x v="0"/>
    <s v="JP-15520"/>
    <x v="187"/>
    <x v="0"/>
    <x v="8"/>
    <x v="8"/>
    <x v="1"/>
    <n v="94110"/>
    <x v="1"/>
    <s v="OFF-ST-10001321"/>
    <x v="1"/>
    <x v="4"/>
    <x v="421"/>
    <x v="451"/>
    <n v="6"/>
    <n v="0"/>
    <n v="24.980400000000007"/>
  </r>
  <r>
    <x v="475"/>
    <x v="217"/>
    <d v="2014-11-09T00:00:00"/>
    <s v="11"/>
    <x v="2"/>
    <s v="1101102014"/>
    <x v="0"/>
    <s v="JP-15520"/>
    <x v="187"/>
    <x v="0"/>
    <x v="8"/>
    <x v="8"/>
    <x v="1"/>
    <n v="94110"/>
    <x v="1"/>
    <s v="OFF-PA-10001509"/>
    <x v="1"/>
    <x v="10"/>
    <x v="422"/>
    <x v="452"/>
    <n v="7"/>
    <n v="0"/>
    <n v="28.818999999999996"/>
  </r>
  <r>
    <x v="476"/>
    <x v="217"/>
    <d v="2014-11-09T00:00:00"/>
    <s v="11"/>
    <x v="2"/>
    <s v="1101102014"/>
    <x v="0"/>
    <s v="JP-15520"/>
    <x v="187"/>
    <x v="0"/>
    <x v="8"/>
    <x v="8"/>
    <x v="1"/>
    <n v="94110"/>
    <x v="1"/>
    <s v="OFF-PA-10003465"/>
    <x v="1"/>
    <x v="10"/>
    <x v="423"/>
    <x v="453"/>
    <n v="5"/>
    <n v="0"/>
    <n v="45.527999999999992"/>
  </r>
  <r>
    <x v="477"/>
    <x v="218"/>
    <d v="2016-07-12T00:00:00"/>
    <s v="7"/>
    <x v="0"/>
    <s v="701902016"/>
    <x v="1"/>
    <s v="KH-16690"/>
    <x v="120"/>
    <x v="1"/>
    <x v="1"/>
    <x v="1"/>
    <x v="1"/>
    <n v="90008"/>
    <x v="1"/>
    <s v="TEC-PH-10000149"/>
    <x v="2"/>
    <x v="7"/>
    <x v="424"/>
    <x v="454"/>
    <n v="6"/>
    <n v="0.2"/>
    <n v="7.1819999999999951"/>
  </r>
  <r>
    <x v="478"/>
    <x v="219"/>
    <d v="2016-10-27T00:00:00"/>
    <s v="11"/>
    <x v="0"/>
    <s v="110202016"/>
    <x v="1"/>
    <s v="JE-15475"/>
    <x v="188"/>
    <x v="0"/>
    <x v="21"/>
    <x v="21"/>
    <x v="15"/>
    <n v="12180"/>
    <x v="3"/>
    <s v="FUR-FU-10002671"/>
    <x v="0"/>
    <x v="5"/>
    <x v="278"/>
    <x v="455"/>
    <n v="3"/>
    <n v="0"/>
    <n v="19.295999999999999"/>
  </r>
  <r>
    <x v="479"/>
    <x v="220"/>
    <d v="2016-06-26T00:00:00"/>
    <s v="7"/>
    <x v="0"/>
    <s v="70202016"/>
    <x v="1"/>
    <s v="JG-15805"/>
    <x v="189"/>
    <x v="1"/>
    <x v="20"/>
    <x v="20"/>
    <x v="15"/>
    <n v="10024"/>
    <x v="3"/>
    <s v="OFF-AR-10003045"/>
    <x v="1"/>
    <x v="6"/>
    <x v="425"/>
    <x v="456"/>
    <n v="5"/>
    <n v="0"/>
    <n v="6.6150000000000002"/>
  </r>
  <r>
    <x v="480"/>
    <x v="220"/>
    <d v="2016-06-26T00:00:00"/>
    <s v="7"/>
    <x v="0"/>
    <s v="70202016"/>
    <x v="1"/>
    <s v="JG-15805"/>
    <x v="189"/>
    <x v="1"/>
    <x v="20"/>
    <x v="20"/>
    <x v="15"/>
    <n v="10024"/>
    <x v="3"/>
    <s v="OFF-ST-10000689"/>
    <x v="1"/>
    <x v="4"/>
    <x v="426"/>
    <x v="457"/>
    <n v="5"/>
    <n v="0"/>
    <n v="84.51"/>
  </r>
  <r>
    <x v="481"/>
    <x v="221"/>
    <d v="2014-10-06T00:00:00"/>
    <s v="1"/>
    <x v="2"/>
    <s v="1001002014"/>
    <x v="1"/>
    <s v="XP-21865"/>
    <x v="190"/>
    <x v="0"/>
    <x v="70"/>
    <x v="70"/>
    <x v="1"/>
    <n v="92024"/>
    <x v="1"/>
    <s v="TEC-AC-10001445"/>
    <x v="2"/>
    <x v="11"/>
    <x v="427"/>
    <x v="458"/>
    <n v="3"/>
    <n v="0"/>
    <n v="1.9088999999999996"/>
  </r>
  <r>
    <x v="482"/>
    <x v="222"/>
    <d v="2014-07-22T00:00:00"/>
    <s v="7"/>
    <x v="2"/>
    <s v="702702014"/>
    <x v="1"/>
    <s v="EM-14065"/>
    <x v="191"/>
    <x v="0"/>
    <x v="20"/>
    <x v="20"/>
    <x v="15"/>
    <n v="10024"/>
    <x v="3"/>
    <s v="OFF-AR-10002053"/>
    <x v="1"/>
    <x v="6"/>
    <x v="79"/>
    <x v="459"/>
    <n v="2"/>
    <n v="0"/>
    <n v="1.6688000000000001"/>
  </r>
  <r>
    <x v="483"/>
    <x v="222"/>
    <d v="2014-07-22T00:00:00"/>
    <s v="7"/>
    <x v="2"/>
    <s v="702702014"/>
    <x v="1"/>
    <s v="EM-14065"/>
    <x v="191"/>
    <x v="0"/>
    <x v="20"/>
    <x v="20"/>
    <x v="15"/>
    <n v="10024"/>
    <x v="3"/>
    <s v="TEC-AC-10002567"/>
    <x v="2"/>
    <x v="11"/>
    <x v="428"/>
    <x v="460"/>
    <n v="2"/>
    <n v="0"/>
    <n v="57.592799999999997"/>
  </r>
  <r>
    <x v="484"/>
    <x v="223"/>
    <d v="2017-06-10T00:00:00"/>
    <s v="6"/>
    <x v="3"/>
    <s v="601302017"/>
    <x v="2"/>
    <s v="MT-18070"/>
    <x v="192"/>
    <x v="2"/>
    <x v="1"/>
    <x v="1"/>
    <x v="1"/>
    <n v="90045"/>
    <x v="1"/>
    <s v="OFF-LA-10003923"/>
    <x v="1"/>
    <x v="2"/>
    <x v="429"/>
    <x v="461"/>
    <n v="2"/>
    <n v="0"/>
    <n v="14.8"/>
  </r>
  <r>
    <x v="485"/>
    <x v="223"/>
    <d v="2017-06-10T00:00:00"/>
    <s v="6"/>
    <x v="3"/>
    <s v="601302017"/>
    <x v="2"/>
    <s v="MT-18070"/>
    <x v="192"/>
    <x v="2"/>
    <x v="1"/>
    <x v="1"/>
    <x v="1"/>
    <n v="90045"/>
    <x v="1"/>
    <s v="FUR-BO-10001337"/>
    <x v="0"/>
    <x v="0"/>
    <x v="430"/>
    <x v="462"/>
    <n v="5"/>
    <n v="0.15"/>
    <n v="-30.24499999999999"/>
  </r>
  <r>
    <x v="486"/>
    <x v="223"/>
    <d v="2017-06-10T00:00:00"/>
    <s v="6"/>
    <x v="3"/>
    <s v="601302017"/>
    <x v="2"/>
    <s v="MT-18070"/>
    <x v="192"/>
    <x v="2"/>
    <x v="1"/>
    <x v="1"/>
    <x v="1"/>
    <n v="90045"/>
    <x v="1"/>
    <s v="TEC-PH-10001924"/>
    <x v="2"/>
    <x v="7"/>
    <x v="431"/>
    <x v="463"/>
    <n v="5"/>
    <n v="0.2"/>
    <n v="17.497500000000016"/>
  </r>
  <r>
    <x v="487"/>
    <x v="224"/>
    <d v="2014-10-29T00:00:00"/>
    <s v="1"/>
    <x v="2"/>
    <s v="1003102014"/>
    <x v="2"/>
    <s v="SA-20830"/>
    <x v="193"/>
    <x v="0"/>
    <x v="22"/>
    <x v="22"/>
    <x v="10"/>
    <n v="60610"/>
    <x v="2"/>
    <s v="TEC-PH-10001363"/>
    <x v="2"/>
    <x v="7"/>
    <x v="432"/>
    <x v="464"/>
    <n v="6"/>
    <n v="0.2"/>
    <n v="341.99399999999969"/>
  </r>
  <r>
    <x v="488"/>
    <x v="225"/>
    <d v="2014-06-09T00:00:00"/>
    <s v="6"/>
    <x v="2"/>
    <s v="601302014"/>
    <x v="0"/>
    <s v="CW-11905"/>
    <x v="194"/>
    <x v="2"/>
    <x v="114"/>
    <x v="114"/>
    <x v="5"/>
    <n v="77340"/>
    <x v="2"/>
    <s v="TEC-PH-10000376"/>
    <x v="2"/>
    <x v="7"/>
    <x v="433"/>
    <x v="465"/>
    <n v="1"/>
    <n v="0.2"/>
    <n v="0.59940000000000015"/>
  </r>
  <r>
    <x v="489"/>
    <x v="225"/>
    <d v="2014-06-09T00:00:00"/>
    <s v="6"/>
    <x v="2"/>
    <s v="601302014"/>
    <x v="0"/>
    <s v="CW-11905"/>
    <x v="194"/>
    <x v="2"/>
    <x v="114"/>
    <x v="114"/>
    <x v="5"/>
    <n v="77340"/>
    <x v="2"/>
    <s v="TEC-AC-10000303"/>
    <x v="2"/>
    <x v="11"/>
    <x v="434"/>
    <x v="466"/>
    <n v="2"/>
    <n v="0.2"/>
    <n v="10.397399999999998"/>
  </r>
  <r>
    <x v="490"/>
    <x v="225"/>
    <d v="2014-06-09T00:00:00"/>
    <s v="6"/>
    <x v="2"/>
    <s v="601302014"/>
    <x v="0"/>
    <s v="CW-11905"/>
    <x v="194"/>
    <x v="2"/>
    <x v="114"/>
    <x v="114"/>
    <x v="5"/>
    <n v="77340"/>
    <x v="2"/>
    <s v="OFF-AR-10001953"/>
    <x v="1"/>
    <x v="6"/>
    <x v="400"/>
    <x v="467"/>
    <n v="2"/>
    <n v="0.2"/>
    <n v="6.1572000000000031"/>
  </r>
  <r>
    <x v="491"/>
    <x v="226"/>
    <d v="2014-09-14T00:00:00"/>
    <s v="9"/>
    <x v="2"/>
    <s v="901902014"/>
    <x v="1"/>
    <s v="AJ-10960"/>
    <x v="195"/>
    <x v="0"/>
    <x v="30"/>
    <x v="30"/>
    <x v="15"/>
    <n v="14609"/>
    <x v="3"/>
    <s v="OFF-ST-10001809"/>
    <x v="1"/>
    <x v="4"/>
    <x v="435"/>
    <x v="468"/>
    <n v="5"/>
    <n v="0"/>
    <n v="8.9829999999999899"/>
  </r>
  <r>
    <x v="492"/>
    <x v="226"/>
    <d v="2014-09-14T00:00:00"/>
    <s v="9"/>
    <x v="2"/>
    <s v="901902014"/>
    <x v="1"/>
    <s v="AJ-10960"/>
    <x v="195"/>
    <x v="0"/>
    <x v="30"/>
    <x v="30"/>
    <x v="15"/>
    <n v="14609"/>
    <x v="3"/>
    <s v="OFF-EN-10003845"/>
    <x v="1"/>
    <x v="12"/>
    <x v="436"/>
    <x v="469"/>
    <n v="3"/>
    <n v="0"/>
    <n v="5.0921999999999992"/>
  </r>
  <r>
    <x v="493"/>
    <x v="227"/>
    <d v="2016-05-09T00:00:00"/>
    <s v="5"/>
    <x v="0"/>
    <s v="501402016"/>
    <x v="1"/>
    <s v="SS-20590"/>
    <x v="196"/>
    <x v="0"/>
    <x v="4"/>
    <x v="4"/>
    <x v="4"/>
    <n v="98115"/>
    <x v="1"/>
    <s v="TEC-AC-10000991"/>
    <x v="2"/>
    <x v="11"/>
    <x v="437"/>
    <x v="470"/>
    <n v="2"/>
    <n v="0"/>
    <n v="13.157200000000003"/>
  </r>
  <r>
    <x v="494"/>
    <x v="228"/>
    <d v="2016-03-18T00:00:00"/>
    <s v="3"/>
    <x v="0"/>
    <s v="302102016"/>
    <x v="0"/>
    <s v="RO-19780"/>
    <x v="197"/>
    <x v="0"/>
    <x v="26"/>
    <x v="26"/>
    <x v="18"/>
    <n v="38109"/>
    <x v="0"/>
    <s v="FUR-TA-10001857"/>
    <x v="0"/>
    <x v="3"/>
    <x v="438"/>
    <x v="471"/>
    <n v="3"/>
    <n v="0.4"/>
    <n v="-94.941000000000017"/>
  </r>
  <r>
    <x v="495"/>
    <x v="229"/>
    <d v="2015-12-27T00:00:00"/>
    <s v="12"/>
    <x v="1"/>
    <s v="1203102015"/>
    <x v="1"/>
    <s v="MD-17350"/>
    <x v="198"/>
    <x v="0"/>
    <x v="115"/>
    <x v="115"/>
    <x v="36"/>
    <n v="72701"/>
    <x v="0"/>
    <s v="OFF-EN-10001434"/>
    <x v="1"/>
    <x v="12"/>
    <x v="439"/>
    <x v="472"/>
    <n v="2"/>
    <n v="0"/>
    <n v="51.655799999999999"/>
  </r>
  <r>
    <x v="496"/>
    <x v="230"/>
    <d v="2016-07-25T00:00:00"/>
    <s v="7"/>
    <x v="0"/>
    <s v="703102016"/>
    <x v="1"/>
    <s v="SC-20095"/>
    <x v="183"/>
    <x v="0"/>
    <x v="116"/>
    <x v="116"/>
    <x v="1"/>
    <n v="92627"/>
    <x v="1"/>
    <s v="OFF-BI-10002498"/>
    <x v="1"/>
    <x v="8"/>
    <x v="440"/>
    <x v="473"/>
    <n v="8"/>
    <n v="0.2"/>
    <n v="40.370399999999997"/>
  </r>
  <r>
    <x v="497"/>
    <x v="230"/>
    <d v="2016-07-25T00:00:00"/>
    <s v="7"/>
    <x v="0"/>
    <s v="703102016"/>
    <x v="1"/>
    <s v="SC-20095"/>
    <x v="183"/>
    <x v="0"/>
    <x v="116"/>
    <x v="116"/>
    <x v="1"/>
    <n v="92627"/>
    <x v="1"/>
    <s v="FUR-FU-10004864"/>
    <x v="0"/>
    <x v="5"/>
    <x v="441"/>
    <x v="474"/>
    <n v="4"/>
    <n v="0"/>
    <n v="81.843199999999996"/>
  </r>
  <r>
    <x v="498"/>
    <x v="230"/>
    <d v="2016-07-25T00:00:00"/>
    <s v="7"/>
    <x v="0"/>
    <s v="703102016"/>
    <x v="1"/>
    <s v="SC-20095"/>
    <x v="183"/>
    <x v="0"/>
    <x v="116"/>
    <x v="116"/>
    <x v="1"/>
    <n v="92627"/>
    <x v="1"/>
    <s v="FUR-CH-10002602"/>
    <x v="0"/>
    <x v="1"/>
    <x v="291"/>
    <x v="475"/>
    <n v="2"/>
    <n v="0.2"/>
    <n v="18.1176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x v="0"/>
    <s v="CA-2017-153822"/>
  </r>
  <r>
    <x v="0"/>
    <s v="CA-2017-129707"/>
  </r>
  <r>
    <x v="0"/>
    <s v="CA-2014-152345"/>
  </r>
  <r>
    <x v="0"/>
    <s v="CA-2015-156440"/>
  </r>
  <r>
    <x v="0"/>
    <s v="US-2017-155999"/>
  </r>
  <r>
    <x v="0"/>
    <s v="CA-2014-157924"/>
  </r>
  <r>
    <x v="0"/>
    <s v="CA-2017-131807"/>
  </r>
  <r>
    <x v="0"/>
    <s v="CA-2016-124527"/>
  </r>
  <r>
    <x v="0"/>
    <s v="CA-2017-135692"/>
  </r>
  <r>
    <x v="0"/>
    <s v="CA-2014-123225"/>
  </r>
  <r>
    <x v="0"/>
    <s v="CA-2017-145772"/>
  </r>
  <r>
    <x v="0"/>
    <s v="US-2014-105137"/>
  </r>
  <r>
    <x v="0"/>
    <s v="CA-2017-101805"/>
  </r>
  <r>
    <x v="0"/>
    <s v="CA-2016-111682"/>
  </r>
  <r>
    <x v="0"/>
    <s v="CA-2017-131492"/>
  </r>
  <r>
    <x v="0"/>
    <s v="CA-2015-104129"/>
  </r>
  <r>
    <x v="0"/>
    <s v="CA-2017-117926"/>
  </r>
  <r>
    <x v="0"/>
    <s v="US-2016-115952"/>
  </r>
  <r>
    <x v="0"/>
    <s v="CA-2015-155761"/>
  </r>
  <r>
    <x v="0"/>
    <s v="CA-2017-100111"/>
  </r>
  <r>
    <x v="0"/>
    <s v="CA-2014-156349"/>
  </r>
  <r>
    <x v="0"/>
    <s v="CA-2016-118899"/>
  </r>
  <r>
    <x v="0"/>
    <s v="CA-2017-108294"/>
  </r>
  <r>
    <x v="0"/>
    <s v="US-2017-123834"/>
  </r>
  <r>
    <x v="0"/>
    <s v="CA-2015-168480"/>
  </r>
  <r>
    <x v="0"/>
    <s v="CA-2017-122007"/>
  </r>
  <r>
    <x v="0"/>
    <s v="CA-2017-128965"/>
  </r>
  <r>
    <x v="0"/>
    <s v="CA-2015-169397"/>
  </r>
  <r>
    <x v="0"/>
    <s v="CA-2015-168564"/>
  </r>
  <r>
    <x v="0"/>
    <s v="CA-2014-102652"/>
  </r>
  <r>
    <x v="0"/>
    <s v="CA-2016-112340"/>
  </r>
  <r>
    <x v="0"/>
    <s v="CA-2016-114727"/>
  </r>
  <r>
    <x v="0"/>
    <s v="US-2016-151827"/>
  </r>
  <r>
    <x v="0"/>
    <s v="CA-2016-152814"/>
  </r>
  <r>
    <x v="0"/>
    <s v="US-2016-114230"/>
  </r>
  <r>
    <x v="0"/>
    <s v="CA-2015-146486"/>
  </r>
  <r>
    <x v="0"/>
    <s v="CA-2015-116092"/>
  </r>
  <r>
    <x v="0"/>
    <s v="CA-2017-118542"/>
  </r>
  <r>
    <x v="0"/>
    <s v="CA-2015-140984"/>
  </r>
  <r>
    <x v="0"/>
    <s v="CA-2017-127306"/>
  </r>
  <r>
    <x v="0"/>
    <s v="CA-2017-119284"/>
  </r>
  <r>
    <x v="0"/>
    <s v="CA-2017-150609"/>
  </r>
  <r>
    <x v="0"/>
    <s v="CA-2017-136651"/>
  </r>
  <r>
    <x v="0"/>
    <s v="CA-2017-136539"/>
  </r>
  <r>
    <x v="0"/>
    <s v="CA-2014-110786"/>
  </r>
  <r>
    <x v="0"/>
    <s v="CA-2014-126403"/>
  </r>
  <r>
    <x v="0"/>
    <s v="CA-2016-157280"/>
  </r>
  <r>
    <x v="0"/>
    <s v="CA-2016-162138"/>
  </r>
  <r>
    <x v="0"/>
    <s v="CA-2016-114307"/>
  </r>
  <r>
    <x v="0"/>
    <s v="CA-2014-123498"/>
  </r>
  <r>
    <x v="0"/>
    <s v="CA-2016-142398"/>
  </r>
  <r>
    <x v="0"/>
    <s v="CA-2017-161956"/>
  </r>
  <r>
    <x v="0"/>
    <s v="CA-2017-134194"/>
  </r>
  <r>
    <x v="0"/>
    <s v="CA-2015-134075"/>
  </r>
  <r>
    <x v="0"/>
    <s v="US-2016-156986"/>
  </r>
  <r>
    <x v="0"/>
    <s v="US-2016-105578"/>
  </r>
  <r>
    <x v="0"/>
    <s v="US-2016-131149"/>
  </r>
  <r>
    <x v="0"/>
    <s v="US-2017-147886"/>
  </r>
  <r>
    <x v="0"/>
    <s v="CA-2014-126361"/>
  </r>
  <r>
    <x v="0"/>
    <s v="CA-2017-141929"/>
  </r>
  <r>
    <x v="0"/>
    <s v="CA-2016-145583"/>
  </r>
  <r>
    <x v="0"/>
    <s v="CA-2015-154970"/>
  </r>
  <r>
    <x v="0"/>
    <s v="CA-2016-167759"/>
  </r>
  <r>
    <x v="0"/>
    <s v="CA-2017-109085"/>
  </r>
  <r>
    <x v="0"/>
    <s v="CA-2014-142769"/>
  </r>
  <r>
    <x v="0"/>
    <s v="US-2017-107888"/>
  </r>
  <r>
    <x v="0"/>
    <s v="CA-2014-109918"/>
  </r>
  <r>
    <x v="0"/>
    <s v="CA-2017-131618"/>
  </r>
  <r>
    <x v="0"/>
    <s v="US-2017-109253"/>
  </r>
  <r>
    <x v="0"/>
    <s v="CA-2017-130631"/>
  </r>
  <r>
    <x v="0"/>
    <s v="US-2017-118087"/>
  </r>
  <r>
    <x v="0"/>
    <s v="CA-2016-126732"/>
  </r>
  <r>
    <x v="0"/>
    <s v="US-2016-144057"/>
  </r>
  <r>
    <x v="0"/>
    <s v="CA-2016-168921"/>
  </r>
  <r>
    <x v="0"/>
    <s v="CA-2016-109806"/>
  </r>
  <r>
    <x v="0"/>
    <s v="CA-2014-104829"/>
  </r>
  <r>
    <x v="0"/>
    <s v="CA-2016-147375"/>
  </r>
  <r>
    <x v="0"/>
    <s v="CA-2014-134726"/>
  </r>
  <r>
    <x v="0"/>
    <s v="CA-2017-117513"/>
  </r>
  <r>
    <x v="0"/>
    <s v="US-2014-138758"/>
  </r>
  <r>
    <x v="0"/>
    <s v="CA-2014-126522"/>
  </r>
  <r>
    <x v="0"/>
    <s v="CA-2017-115994"/>
  </r>
  <r>
    <x v="0"/>
    <s v="CA-2016-138282"/>
  </r>
  <r>
    <x v="0"/>
    <s v="CA-2017-161459"/>
  </r>
  <r>
    <x v="0"/>
    <s v="CA-2016-136483"/>
  </r>
  <r>
    <x v="0"/>
    <s v="CA-2016-116547"/>
  </r>
  <r>
    <x v="0"/>
    <s v="CA-2015-130785"/>
  </r>
  <r>
    <x v="0"/>
    <s v="CA-2017-165008"/>
  </r>
  <r>
    <x v="0"/>
    <s v="US-2015-137008"/>
  </r>
  <r>
    <x v="0"/>
    <s v="CA-2017-169894"/>
  </r>
  <r>
    <x v="0"/>
    <s v="CA-2014-105270"/>
  </r>
  <r>
    <x v="0"/>
    <s v="CA-2016-165330"/>
  </r>
  <r>
    <x v="0"/>
    <s v="CA-2014-111871"/>
  </r>
  <r>
    <x v="0"/>
    <s v="CA-2015-157812"/>
  </r>
  <r>
    <x v="0"/>
    <s v="CA-2016-145982"/>
  </r>
  <r>
    <x v="0"/>
    <s v="CA-2017-166142"/>
  </r>
  <r>
    <x v="0"/>
    <s v="CA-2014-127131"/>
  </r>
  <r>
    <x v="0"/>
    <s v="CA-2017-143084"/>
  </r>
  <r>
    <x v="0"/>
    <s v="CA-2015-151547"/>
  </r>
  <r>
    <x v="0"/>
    <s v="CA-2015-138674"/>
  </r>
  <r>
    <x v="0"/>
    <s v="CA-2014-169019"/>
  </r>
  <r>
    <x v="0"/>
    <s v="CA-2014-100762"/>
  </r>
  <r>
    <x v="0"/>
    <s v="US-2014-164406"/>
  </r>
  <r>
    <x v="0"/>
    <s v="CA-2016-118500"/>
  </r>
  <r>
    <x v="0"/>
    <s v="CA-2015-143490"/>
  </r>
  <r>
    <x v="0"/>
    <s v="CA-2017-115427"/>
  </r>
  <r>
    <x v="0"/>
    <s v="CA-2015-124058"/>
  </r>
  <r>
    <x v="0"/>
    <s v="CA-2017-132346"/>
  </r>
  <r>
    <x v="0"/>
    <s v="CA-2016-150077"/>
  </r>
  <r>
    <x v="0"/>
    <s v="CA-2017-124401"/>
  </r>
  <r>
    <x v="0"/>
    <s v="CA-2017-137414"/>
  </r>
  <r>
    <x v="0"/>
    <s v="CA-2017-142867"/>
  </r>
  <r>
    <x v="0"/>
    <s v="CA-2017-157196"/>
  </r>
  <r>
    <x v="0"/>
    <s v="CA-2015-149342"/>
  </r>
  <r>
    <x v="0"/>
    <s v="CA-2016-112123"/>
  </r>
  <r>
    <x v="0"/>
    <s v="US-2017-147998"/>
  </r>
  <r>
    <x v="0"/>
    <s v="CA-2015-103716"/>
  </r>
  <r>
    <x v="0"/>
    <s v="CA-2015-144267"/>
  </r>
  <r>
    <x v="0"/>
    <s v="CA-2016-109869"/>
  </r>
  <r>
    <x v="0"/>
    <s v="CA-2017-166898"/>
  </r>
  <r>
    <x v="0"/>
    <s v="CA-2017-169327"/>
  </r>
  <r>
    <x v="0"/>
    <s v="CA-2017-169859"/>
  </r>
  <r>
    <x v="0"/>
    <s v="CA-2017-137085"/>
  </r>
  <r>
    <x v="0"/>
    <s v="CA-2017-154074"/>
  </r>
  <r>
    <x v="0"/>
    <s v="CA-2016-130477"/>
  </r>
  <r>
    <x v="0"/>
    <s v="CA-2016-134775"/>
  </r>
  <r>
    <x v="0"/>
    <s v="US-2017-105046"/>
  </r>
  <r>
    <x v="0"/>
    <s v="CA-2016-136924"/>
  </r>
  <r>
    <x v="0"/>
    <s v="CA-2017-166093"/>
  </r>
  <r>
    <x v="0"/>
    <s v="CA-2016-106950"/>
  </r>
  <r>
    <x v="0"/>
    <s v="CA-2017-145128"/>
  </r>
  <r>
    <x v="0"/>
    <s v="US-2016-114293"/>
  </r>
  <r>
    <x v="0"/>
    <s v="CA-2017-137099"/>
  </r>
  <r>
    <x v="0"/>
    <s v="CA-2016-133319"/>
  </r>
  <r>
    <x v="0"/>
    <s v="CA-2014-103744"/>
  </r>
  <r>
    <x v="0"/>
    <s v="CA-2015-161627"/>
  </r>
  <r>
    <x v="0"/>
    <s v="CA-2015-142601"/>
  </r>
  <r>
    <x v="0"/>
    <s v="CA-2015-112144"/>
  </r>
  <r>
    <x v="0"/>
    <s v="CA-2014-164861"/>
  </r>
  <r>
    <x v="0"/>
    <s v="US-2015-128090"/>
  </r>
  <r>
    <x v="0"/>
    <s v="CA-2014-108609"/>
  </r>
  <r>
    <x v="0"/>
    <s v="CA-2017-147452"/>
  </r>
  <r>
    <x v="0"/>
    <s v="CA-2015-123568"/>
  </r>
  <r>
    <x v="0"/>
    <s v="CA-2017-102519"/>
  </r>
  <r>
    <x v="0"/>
    <s v="CA-2017-121853"/>
  </r>
  <r>
    <x v="0"/>
    <s v="CA-2015-132374"/>
  </r>
  <r>
    <x v="0"/>
    <s v="US-2014-150574"/>
  </r>
  <r>
    <x v="0"/>
    <s v="CA-2014-148614"/>
  </r>
  <r>
    <x v="0"/>
    <s v="CA-2017-165491"/>
  </r>
  <r>
    <x v="0"/>
    <s v="CA-2016-133802"/>
  </r>
  <r>
    <x v="0"/>
    <s v="CA-2017-112865"/>
  </r>
  <r>
    <x v="0"/>
    <s v="CA-2016-130680"/>
  </r>
  <r>
    <x v="0"/>
    <s v="CA-2015-114048"/>
  </r>
  <r>
    <x v="0"/>
    <s v="CA-2017-108931"/>
  </r>
  <r>
    <x v="0"/>
    <s v="CA-2017-136308"/>
  </r>
  <r>
    <x v="0"/>
    <s v="CA-2016-126529"/>
  </r>
  <r>
    <x v="0"/>
    <s v="CA-2014-135699"/>
  </r>
  <r>
    <x v="0"/>
    <s v="CA-2015-146255"/>
  </r>
  <r>
    <x v="0"/>
    <s v="CA-2017-140053"/>
  </r>
  <r>
    <x v="0"/>
    <s v="CA-2014-143336"/>
  </r>
  <r>
    <x v="0"/>
    <s v="CA-2017-159954"/>
  </r>
  <r>
    <x v="0"/>
    <s v="CA-2016-105291"/>
  </r>
  <r>
    <x v="0"/>
    <s v="CA-2017-158729"/>
  </r>
  <r>
    <x v="0"/>
    <s v="CA-2017-101273"/>
  </r>
  <r>
    <x v="0"/>
    <s v="CA-2017-123085"/>
  </r>
  <r>
    <x v="0"/>
    <s v="CA-2017-131828"/>
  </r>
  <r>
    <x v="0"/>
    <s v="CA-2017-113670"/>
  </r>
  <r>
    <x v="0"/>
    <s v="CA-2015-135580"/>
  </r>
  <r>
    <x v="0"/>
    <s v="US-2016-157490"/>
  </r>
  <r>
    <x v="0"/>
    <s v="CA-2017-142888"/>
  </r>
  <r>
    <x v="0"/>
    <s v="CA-2014-153150"/>
  </r>
  <r>
    <x v="0"/>
    <s v="US-2016-152051"/>
  </r>
  <r>
    <x v="0"/>
    <s v="CA-2014-103940"/>
  </r>
  <r>
    <x v="0"/>
    <s v="CA-2016-159345"/>
  </r>
  <r>
    <x v="0"/>
    <s v="CA-2017-162015"/>
  </r>
  <r>
    <x v="0"/>
    <s v="CA-2015-148873"/>
  </r>
  <r>
    <x v="0"/>
    <s v="CA-2017-167395"/>
  </r>
  <r>
    <x v="0"/>
    <s v="US-2016-127425"/>
  </r>
  <r>
    <x v="0"/>
    <s v="CA-2017-142342"/>
  </r>
  <r>
    <x v="0"/>
    <s v="CA-2016-159212"/>
  </r>
  <r>
    <x v="0"/>
    <s v="CA-2016-116736"/>
  </r>
  <r>
    <x v="0"/>
    <s v="CA-2016-128671"/>
  </r>
  <r>
    <x v="0"/>
    <s v="CA-2017-112753"/>
  </r>
  <r>
    <x v="0"/>
    <s v="US-2016-148957"/>
  </r>
  <r>
    <x v="0"/>
    <s v="CA-2015-110814"/>
  </r>
  <r>
    <x v="0"/>
    <s v="CA-2014-164721"/>
  </r>
  <r>
    <x v="0"/>
    <s v="US-2015-136987"/>
  </r>
  <r>
    <x v="0"/>
    <s v="CA-2016-151372"/>
  </r>
  <r>
    <x v="0"/>
    <s v="US-2017-151127"/>
  </r>
  <r>
    <x v="0"/>
    <s v="US-2015-110569"/>
  </r>
  <r>
    <x v="0"/>
    <s v="CA-2015-153220"/>
  </r>
  <r>
    <x v="0"/>
    <s v="CA-2017-117212"/>
  </r>
  <r>
    <x v="0"/>
    <s v="CA-2017-101574"/>
  </r>
  <r>
    <x v="0"/>
    <s v="CA-2016-151323"/>
  </r>
  <r>
    <x v="0"/>
    <s v="CA-2014-166744"/>
  </r>
  <r>
    <x v="0"/>
    <s v="US-2016-119046"/>
  </r>
  <r>
    <x v="0"/>
    <s v="CA-2015-105158"/>
  </r>
  <r>
    <x v="0"/>
    <s v="CA-2017-103380"/>
  </r>
  <r>
    <x v="0"/>
    <s v="CA-2016-161746"/>
  </r>
  <r>
    <x v="0"/>
    <s v="CA-2015-111948"/>
  </r>
  <r>
    <x v="0"/>
    <s v="CA-2017-138163"/>
  </r>
  <r>
    <x v="0"/>
    <s v="CA-2015-134201"/>
  </r>
  <r>
    <x v="0"/>
    <s v="US-2015-126214"/>
  </r>
  <r>
    <x v="0"/>
    <s v="CA-2014-140816"/>
  </r>
  <r>
    <x v="0"/>
    <s v="CA-2014-133690"/>
  </r>
  <r>
    <x v="0"/>
    <s v="CA-2016-120873"/>
  </r>
  <r>
    <x v="0"/>
    <s v="US-2017-103247"/>
  </r>
  <r>
    <x v="0"/>
    <s v="CA-2017-155712"/>
  </r>
  <r>
    <x v="0"/>
    <s v="US-2016-108455"/>
  </r>
  <r>
    <x v="0"/>
    <s v="CA-2016-104689"/>
  </r>
  <r>
    <x v="0"/>
    <s v="CA-2017-152660"/>
  </r>
  <r>
    <x v="0"/>
    <s v="US-2015-136749"/>
  </r>
  <r>
    <x v="0"/>
    <s v="CA-2015-143602"/>
  </r>
  <r>
    <x v="0"/>
    <s v="CA-2016-134803"/>
  </r>
  <r>
    <x v="0"/>
    <s v="CA-2016-139269"/>
  </r>
  <r>
    <x v="0"/>
    <s v="CA-2014-123253"/>
  </r>
  <r>
    <x v="0"/>
    <s v="CA-2016-162159"/>
  </r>
  <r>
    <x v="0"/>
    <s v="US-2016-135720"/>
  </r>
  <r>
    <x v="0"/>
    <s v="CA-2014-159338"/>
  </r>
  <r>
    <x v="0"/>
    <s v="US-2017-136679"/>
  </r>
  <r>
    <x v="0"/>
    <s v="CA-2015-113628"/>
  </r>
  <r>
    <x v="0"/>
    <s v="CA-2017-107825"/>
  </r>
  <r>
    <x v="0"/>
    <s v="CA-2014-160766"/>
  </r>
  <r>
    <x v="0"/>
    <s v="CA-2016-118311"/>
  </r>
  <r>
    <x v="0"/>
    <s v="CA-2015-130456"/>
  </r>
  <r>
    <x v="0"/>
    <s v="CA-2014-148950"/>
  </r>
  <r>
    <x v="0"/>
    <s v="CA-2015-119214"/>
  </r>
  <r>
    <x v="0"/>
    <s v="CA-2015-119907"/>
  </r>
  <r>
    <x v="0"/>
    <s v="CA-2017-137428"/>
  </r>
  <r>
    <x v="0"/>
    <s v="CA-2014-108861"/>
  </r>
  <r>
    <x v="0"/>
    <s v="CA-2016-130638"/>
  </r>
  <r>
    <x v="0"/>
    <s v="CA-2015-143238"/>
  </r>
  <r>
    <x v="0"/>
    <s v="CA-2015-109736"/>
  </r>
  <r>
    <x v="0"/>
    <s v="CA-2014-124688"/>
  </r>
  <r>
    <x v="0"/>
    <s v="CA-2016-133368"/>
  </r>
  <r>
    <x v="0"/>
    <s v="CA-2017-168193"/>
  </r>
  <r>
    <x v="0"/>
    <s v="CA-2014-135657"/>
  </r>
  <r>
    <x v="0"/>
    <s v="CA-2016-105081"/>
  </r>
  <r>
    <x v="0"/>
    <s v="CA-2017-154214"/>
  </r>
  <r>
    <x v="0"/>
    <s v="CA-2015-107678"/>
  </r>
  <r>
    <x v="0"/>
    <s v="CA-2017-144064"/>
  </r>
  <r>
    <x v="0"/>
    <s v="CA-2017-101700"/>
  </r>
  <r>
    <x v="0"/>
    <s v="CA-2016-113341"/>
  </r>
  <r>
    <x v="0"/>
    <s v="CA-2015-139731"/>
  </r>
  <r>
    <x v="0"/>
    <s v="CA-2015-132941"/>
  </r>
  <r>
    <x v="0"/>
    <s v="CA-2015-146262"/>
  </r>
  <r>
    <x v="0"/>
    <s v="CA-2016-115917"/>
  </r>
  <r>
    <x v="0"/>
    <s v="US-2016-111528"/>
  </r>
  <r>
    <x v="0"/>
    <s v="CA-2017-142328"/>
  </r>
  <r>
    <x v="0"/>
    <s v="CA-2015-141593"/>
  </r>
  <r>
    <x v="0"/>
    <s v="CA-2017-121258"/>
  </r>
  <r>
    <x v="0"/>
    <s v="CA-2014-141726"/>
  </r>
  <r>
    <x v="0"/>
    <s v="CA-2017-167003"/>
  </r>
  <r>
    <x v="0"/>
    <s v="US-2015-160857"/>
  </r>
  <r>
    <x v="0"/>
    <s v="CA-2016-145261"/>
  </r>
  <r>
    <x v="0"/>
    <s v="CA-2017-112725"/>
  </r>
  <r>
    <x v="0"/>
    <s v="CA-2016-145919"/>
  </r>
  <r>
    <x v="0"/>
    <s v="CA-2017-140151"/>
  </r>
  <r>
    <x v="0"/>
    <s v="CA-2015-164882"/>
  </r>
  <r>
    <x v="0"/>
    <s v="CA-2017-123491"/>
  </r>
  <r>
    <x v="0"/>
    <s v="CA-2014-127012"/>
  </r>
  <r>
    <x v="0"/>
    <s v="CA-2016-123526"/>
  </r>
  <r>
    <x v="0"/>
    <s v="CA-2017-161557"/>
  </r>
  <r>
    <x v="0"/>
    <s v="CA-2015-150875"/>
  </r>
  <r>
    <x v="0"/>
    <s v="CA-2015-150770"/>
  </r>
  <r>
    <x v="0"/>
    <s v="US-2014-140452"/>
  </r>
  <r>
    <x v="0"/>
    <s v="CA-2015-149650"/>
  </r>
  <r>
    <x v="0"/>
    <s v="CA-2014-100867"/>
  </r>
  <r>
    <x v="0"/>
    <s v="CA-2017-140186"/>
  </r>
  <r>
    <x v="0"/>
    <s v="CA-2017-156391"/>
  </r>
  <r>
    <x v="0"/>
    <s v="CA-2015-157770"/>
  </r>
  <r>
    <x v="0"/>
    <s v="CA-2017-140963"/>
  </r>
  <r>
    <x v="0"/>
    <s v="CA-2017-154949"/>
  </r>
  <r>
    <x v="0"/>
    <s v="CA-2016-166275"/>
  </r>
  <r>
    <x v="0"/>
    <s v="US-2014-143287"/>
  </r>
  <r>
    <x v="0"/>
    <s v="CA-2014-151162"/>
  </r>
  <r>
    <x v="0"/>
    <s v="US-2017-103828"/>
  </r>
  <r>
    <x v="0"/>
    <s v="CA-2014-143840"/>
  </r>
  <r>
    <x v="0"/>
    <s v="CA-2014-160773"/>
  </r>
  <r>
    <x v="0"/>
    <s v="CA-2017-111556"/>
  </r>
  <r>
    <x v="0"/>
    <s v="CA-2017-140585"/>
  </r>
  <r>
    <x v="0"/>
    <s v="CA-2014-103373"/>
  </r>
  <r>
    <x v="0"/>
    <s v="CA-2016-159023"/>
  </r>
  <r>
    <x v="0"/>
    <s v="CA-2016-145492"/>
  </r>
  <r>
    <x v="0"/>
    <s v="CA-2017-118122"/>
  </r>
  <r>
    <x v="0"/>
    <s v="CA-2014-116785"/>
  </r>
  <r>
    <x v="0"/>
    <s v="US-2014-164763"/>
  </r>
  <r>
    <x v="0"/>
    <s v="CA-2017-122504"/>
  </r>
  <r>
    <x v="0"/>
    <s v="CA-2017-150910"/>
  </r>
  <r>
    <x v="0"/>
    <s v="CA-2015-162166"/>
  </r>
  <r>
    <x v="0"/>
    <s v="US-2016-140172"/>
  </r>
  <r>
    <x v="0"/>
    <s v="CA-2015-101910"/>
  </r>
  <r>
    <x v="0"/>
    <s v="CA-2017-156958"/>
  </r>
  <r>
    <x v="0"/>
    <s v="CA-2016-105585"/>
  </r>
  <r>
    <x v="0"/>
    <s v="CA-2016-148796"/>
  </r>
  <r>
    <x v="0"/>
    <s v="CA-2015-1496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10462-38A6-4BF1-B180-1DC38CD312F8}"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1:L37" firstHeaderRow="1" firstDataRow="1" firstDataCol="1"/>
  <pivotFields count="23">
    <pivotField showAll="0"/>
    <pivotField showAll="0"/>
    <pivotField numFmtId="14"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s" fld="19" baseField="0" baseItem="0" numFmtId="164"/>
  </dataFields>
  <formats count="1">
    <format dxfId="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141E51-32A1-4DE6-AD88-24943C453A3D}"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U28:V34" firstHeaderRow="1" firstDataRow="1" firstDataCol="1"/>
  <pivotFields count="23">
    <pivotField showAll="0"/>
    <pivotField showAll="0"/>
    <pivotField numFmtId="14" showAll="0"/>
    <pivotField showAll="0"/>
    <pivotField axis="axisRow" showAll="0">
      <items count="6">
        <item x="2"/>
        <item x="1"/>
        <item x="0"/>
        <item x="3"/>
        <item x="4"/>
        <item t="default"/>
      </items>
    </pivotField>
    <pivotField showAll="0"/>
    <pivotField showAll="0"/>
    <pivotField showAll="0"/>
    <pivotField showAll="0"/>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um of Profit" fld="22" baseField="0" baseItem="0"/>
  </dataFields>
  <chartFormats count="4">
    <chartFormat chart="8"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FAC1FB-DD95-4D80-B3C0-396B93FE2223}" name="pvt_city"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City">
  <location ref="A34:B45" firstHeaderRow="1" firstDataRow="1"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axis="axisRow" showAll="0" measureFilter="1" sortType="ascending">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autoSortScope>
        <pivotArea dataOnly="0" outline="0" fieldPosition="0">
          <references count="1">
            <reference field="4294967294" count="1" selected="0">
              <x v="0"/>
            </reference>
          </references>
        </pivotArea>
      </autoSortScope>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11"/>
  </rowFields>
  <rowItems count="11">
    <i>
      <x v="98"/>
    </i>
    <i>
      <x v="53"/>
    </i>
    <i>
      <x v="36"/>
    </i>
    <i>
      <x v="85"/>
    </i>
    <i>
      <x v="15"/>
    </i>
    <i>
      <x v="99"/>
    </i>
    <i>
      <x v="60"/>
    </i>
    <i>
      <x v="97"/>
    </i>
    <i>
      <x v="46"/>
    </i>
    <i>
      <x v="76"/>
    </i>
    <i t="grand">
      <x/>
    </i>
  </rowItems>
  <colItems count="1">
    <i/>
  </colItems>
  <dataFields count="1">
    <dataField name="Sum of Sales" fld="19" baseField="0" baseItem="0"/>
  </dataFields>
  <chartFormats count="3">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7A86D0-E0A9-4B32-B331-0DC420D60C65}" name="pvt_sub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ub_Category">
  <location ref="A19:B30" firstHeaderRow="1" firstDataRow="1"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17"/>
  </rowFields>
  <rowItems count="11">
    <i>
      <x/>
    </i>
    <i>
      <x v="1"/>
    </i>
    <i>
      <x v="3"/>
    </i>
    <i>
      <x v="4"/>
    </i>
    <i>
      <x v="5"/>
    </i>
    <i>
      <x v="6"/>
    </i>
    <i>
      <x v="11"/>
    </i>
    <i>
      <x v="13"/>
    </i>
    <i>
      <x v="14"/>
    </i>
    <i>
      <x v="16"/>
    </i>
    <i t="grand">
      <x/>
    </i>
  </rowItems>
  <colItems count="1">
    <i/>
  </colItems>
  <dataFields count="1">
    <dataField name="Sum of Sales" fld="19" baseField="0" baseItem="0"/>
  </dataFields>
  <chartFormats count="33">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7" count="1" selected="0">
            <x v="0"/>
          </reference>
        </references>
      </pivotArea>
    </chartFormat>
    <chartFormat chart="13" format="4">
      <pivotArea type="data" outline="0" fieldPosition="0">
        <references count="2">
          <reference field="4294967294" count="1" selected="0">
            <x v="0"/>
          </reference>
          <reference field="17" count="1" selected="0">
            <x v="1"/>
          </reference>
        </references>
      </pivotArea>
    </chartFormat>
    <chartFormat chart="13" format="5">
      <pivotArea type="data" outline="0" fieldPosition="0">
        <references count="2">
          <reference field="4294967294" count="1" selected="0">
            <x v="0"/>
          </reference>
          <reference field="17" count="1" selected="0">
            <x v="3"/>
          </reference>
        </references>
      </pivotArea>
    </chartFormat>
    <chartFormat chart="13" format="6">
      <pivotArea type="data" outline="0" fieldPosition="0">
        <references count="2">
          <reference field="4294967294" count="1" selected="0">
            <x v="0"/>
          </reference>
          <reference field="17" count="1" selected="0">
            <x v="4"/>
          </reference>
        </references>
      </pivotArea>
    </chartFormat>
    <chartFormat chart="13" format="7">
      <pivotArea type="data" outline="0" fieldPosition="0">
        <references count="2">
          <reference field="4294967294" count="1" selected="0">
            <x v="0"/>
          </reference>
          <reference field="17" count="1" selected="0">
            <x v="5"/>
          </reference>
        </references>
      </pivotArea>
    </chartFormat>
    <chartFormat chart="13" format="8">
      <pivotArea type="data" outline="0" fieldPosition="0">
        <references count="2">
          <reference field="4294967294" count="1" selected="0">
            <x v="0"/>
          </reference>
          <reference field="17" count="1" selected="0">
            <x v="6"/>
          </reference>
        </references>
      </pivotArea>
    </chartFormat>
    <chartFormat chart="13" format="9">
      <pivotArea type="data" outline="0" fieldPosition="0">
        <references count="2">
          <reference field="4294967294" count="1" selected="0">
            <x v="0"/>
          </reference>
          <reference field="17" count="1" selected="0">
            <x v="11"/>
          </reference>
        </references>
      </pivotArea>
    </chartFormat>
    <chartFormat chart="13" format="10">
      <pivotArea type="data" outline="0" fieldPosition="0">
        <references count="2">
          <reference field="4294967294" count="1" selected="0">
            <x v="0"/>
          </reference>
          <reference field="17" count="1" selected="0">
            <x v="13"/>
          </reference>
        </references>
      </pivotArea>
    </chartFormat>
    <chartFormat chart="13" format="11">
      <pivotArea type="data" outline="0" fieldPosition="0">
        <references count="2">
          <reference field="4294967294" count="1" selected="0">
            <x v="0"/>
          </reference>
          <reference field="17" count="1" selected="0">
            <x v="14"/>
          </reference>
        </references>
      </pivotArea>
    </chartFormat>
    <chartFormat chart="13" format="12">
      <pivotArea type="data" outline="0" fieldPosition="0">
        <references count="2">
          <reference field="4294967294" count="1" selected="0">
            <x v="0"/>
          </reference>
          <reference field="17" count="1" selected="0">
            <x v="16"/>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7" count="1" selected="0">
            <x v="0"/>
          </reference>
        </references>
      </pivotArea>
    </chartFormat>
    <chartFormat chart="14" format="15">
      <pivotArea type="data" outline="0" fieldPosition="0">
        <references count="2">
          <reference field="4294967294" count="1" selected="0">
            <x v="0"/>
          </reference>
          <reference field="17" count="1" selected="0">
            <x v="1"/>
          </reference>
        </references>
      </pivotArea>
    </chartFormat>
    <chartFormat chart="14" format="16">
      <pivotArea type="data" outline="0" fieldPosition="0">
        <references count="2">
          <reference field="4294967294" count="1" selected="0">
            <x v="0"/>
          </reference>
          <reference field="17" count="1" selected="0">
            <x v="3"/>
          </reference>
        </references>
      </pivotArea>
    </chartFormat>
    <chartFormat chart="14" format="17">
      <pivotArea type="data" outline="0" fieldPosition="0">
        <references count="2">
          <reference field="4294967294" count="1" selected="0">
            <x v="0"/>
          </reference>
          <reference field="17" count="1" selected="0">
            <x v="4"/>
          </reference>
        </references>
      </pivotArea>
    </chartFormat>
    <chartFormat chart="14" format="18">
      <pivotArea type="data" outline="0" fieldPosition="0">
        <references count="2">
          <reference field="4294967294" count="1" selected="0">
            <x v="0"/>
          </reference>
          <reference field="17" count="1" selected="0">
            <x v="5"/>
          </reference>
        </references>
      </pivotArea>
    </chartFormat>
    <chartFormat chart="14" format="19">
      <pivotArea type="data" outline="0" fieldPosition="0">
        <references count="2">
          <reference field="4294967294" count="1" selected="0">
            <x v="0"/>
          </reference>
          <reference field="17" count="1" selected="0">
            <x v="6"/>
          </reference>
        </references>
      </pivotArea>
    </chartFormat>
    <chartFormat chart="14" format="20">
      <pivotArea type="data" outline="0" fieldPosition="0">
        <references count="2">
          <reference field="4294967294" count="1" selected="0">
            <x v="0"/>
          </reference>
          <reference field="17" count="1" selected="0">
            <x v="11"/>
          </reference>
        </references>
      </pivotArea>
    </chartFormat>
    <chartFormat chart="14" format="21">
      <pivotArea type="data" outline="0" fieldPosition="0">
        <references count="2">
          <reference field="4294967294" count="1" selected="0">
            <x v="0"/>
          </reference>
          <reference field="17" count="1" selected="0">
            <x v="13"/>
          </reference>
        </references>
      </pivotArea>
    </chartFormat>
    <chartFormat chart="14" format="22">
      <pivotArea type="data" outline="0" fieldPosition="0">
        <references count="2">
          <reference field="4294967294" count="1" selected="0">
            <x v="0"/>
          </reference>
          <reference field="17" count="1" selected="0">
            <x v="14"/>
          </reference>
        </references>
      </pivotArea>
    </chartFormat>
    <chartFormat chart="14" format="23">
      <pivotArea type="data" outline="0" fieldPosition="0">
        <references count="2">
          <reference field="4294967294" count="1" selected="0">
            <x v="0"/>
          </reference>
          <reference field="17" count="1" selected="0">
            <x v="16"/>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7" count="1" selected="0">
            <x v="0"/>
          </reference>
        </references>
      </pivotArea>
    </chartFormat>
    <chartFormat chart="15" format="15">
      <pivotArea type="data" outline="0" fieldPosition="0">
        <references count="2">
          <reference field="4294967294" count="1" selected="0">
            <x v="0"/>
          </reference>
          <reference field="17" count="1" selected="0">
            <x v="1"/>
          </reference>
        </references>
      </pivotArea>
    </chartFormat>
    <chartFormat chart="15" format="16">
      <pivotArea type="data" outline="0" fieldPosition="0">
        <references count="2">
          <reference field="4294967294" count="1" selected="0">
            <x v="0"/>
          </reference>
          <reference field="17" count="1" selected="0">
            <x v="3"/>
          </reference>
        </references>
      </pivotArea>
    </chartFormat>
    <chartFormat chart="15" format="17">
      <pivotArea type="data" outline="0" fieldPosition="0">
        <references count="2">
          <reference field="4294967294" count="1" selected="0">
            <x v="0"/>
          </reference>
          <reference field="17" count="1" selected="0">
            <x v="4"/>
          </reference>
        </references>
      </pivotArea>
    </chartFormat>
    <chartFormat chart="15" format="18">
      <pivotArea type="data" outline="0" fieldPosition="0">
        <references count="2">
          <reference field="4294967294" count="1" selected="0">
            <x v="0"/>
          </reference>
          <reference field="17" count="1" selected="0">
            <x v="5"/>
          </reference>
        </references>
      </pivotArea>
    </chartFormat>
    <chartFormat chart="15" format="19">
      <pivotArea type="data" outline="0" fieldPosition="0">
        <references count="2">
          <reference field="4294967294" count="1" selected="0">
            <x v="0"/>
          </reference>
          <reference field="17" count="1" selected="0">
            <x v="6"/>
          </reference>
        </references>
      </pivotArea>
    </chartFormat>
    <chartFormat chart="15" format="20">
      <pivotArea type="data" outline="0" fieldPosition="0">
        <references count="2">
          <reference field="4294967294" count="1" selected="0">
            <x v="0"/>
          </reference>
          <reference field="17" count="1" selected="0">
            <x v="11"/>
          </reference>
        </references>
      </pivotArea>
    </chartFormat>
    <chartFormat chart="15" format="21">
      <pivotArea type="data" outline="0" fieldPosition="0">
        <references count="2">
          <reference field="4294967294" count="1" selected="0">
            <x v="0"/>
          </reference>
          <reference field="17" count="1" selected="0">
            <x v="13"/>
          </reference>
        </references>
      </pivotArea>
    </chartFormat>
    <chartFormat chart="15" format="22">
      <pivotArea type="data" outline="0" fieldPosition="0">
        <references count="2">
          <reference field="4294967294" count="1" selected="0">
            <x v="0"/>
          </reference>
          <reference field="17" count="1" selected="0">
            <x v="14"/>
          </reference>
        </references>
      </pivotArea>
    </chartFormat>
    <chartFormat chart="15" format="23">
      <pivotArea type="data" outline="0" fieldPosition="0">
        <references count="2">
          <reference field="4294967294" count="1" selected="0">
            <x v="0"/>
          </reference>
          <reference field="17" count="1" selected="0">
            <x v="16"/>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21E57E-ED80-4408-8EF1-AEA66C51E636}" name="pvt_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A2:B6" firstHeaderRow="1" firstDataRow="1"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items count="477">
        <item x="75"/>
        <item x="256"/>
        <item x="61"/>
        <item x="99"/>
        <item x="272"/>
        <item x="221"/>
        <item x="123"/>
        <item x="15"/>
        <item x="198"/>
        <item x="370"/>
        <item x="425"/>
        <item x="194"/>
        <item x="369"/>
        <item x="337"/>
        <item x="30"/>
        <item x="175"/>
        <item x="106"/>
        <item x="133"/>
        <item x="238"/>
        <item x="70"/>
        <item x="111"/>
        <item x="323"/>
        <item x="411"/>
        <item x="446"/>
        <item x="413"/>
        <item x="299"/>
        <item x="322"/>
        <item x="328"/>
        <item x="267"/>
        <item x="229"/>
        <item x="348"/>
        <item x="215"/>
        <item x="94"/>
        <item x="399"/>
        <item x="459"/>
        <item x="156"/>
        <item x="192"/>
        <item x="51"/>
        <item x="303"/>
        <item x="90"/>
        <item x="153"/>
        <item x="408"/>
        <item x="336"/>
        <item x="32"/>
        <item x="181"/>
        <item x="6"/>
        <item x="351"/>
        <item x="191"/>
        <item x="262"/>
        <item x="245"/>
        <item x="326"/>
        <item x="465"/>
        <item x="355"/>
        <item x="341"/>
        <item x="18"/>
        <item x="360"/>
        <item x="138"/>
        <item x="436"/>
        <item x="458"/>
        <item x="357"/>
        <item x="400"/>
        <item x="383"/>
        <item x="28"/>
        <item x="390"/>
        <item x="76"/>
        <item x="296"/>
        <item x="160"/>
        <item x="232"/>
        <item x="139"/>
        <item x="268"/>
        <item x="469"/>
        <item x="132"/>
        <item x="25"/>
        <item x="235"/>
        <item x="249"/>
        <item x="362"/>
        <item x="419"/>
        <item x="375"/>
        <item x="91"/>
        <item x="62"/>
        <item x="261"/>
        <item x="293"/>
        <item x="190"/>
        <item x="325"/>
        <item x="58"/>
        <item x="2"/>
        <item x="456"/>
        <item x="81"/>
        <item x="300"/>
        <item x="302"/>
        <item x="401"/>
        <item x="53"/>
        <item x="12"/>
        <item x="33"/>
        <item x="174"/>
        <item x="204"/>
        <item x="314"/>
        <item x="195"/>
        <item x="80"/>
        <item x="342"/>
        <item x="45"/>
        <item x="255"/>
        <item x="329"/>
        <item x="269"/>
        <item x="282"/>
        <item x="8"/>
        <item x="226"/>
        <item x="71"/>
        <item x="281"/>
        <item x="78"/>
        <item x="21"/>
        <item x="217"/>
        <item x="189"/>
        <item x="86"/>
        <item x="184"/>
        <item x="130"/>
        <item x="88"/>
        <item x="171"/>
        <item x="253"/>
        <item x="346"/>
        <item x="321"/>
        <item x="207"/>
        <item x="167"/>
        <item x="82"/>
        <item x="129"/>
        <item x="196"/>
        <item x="48"/>
        <item x="223"/>
        <item x="424"/>
        <item x="4"/>
        <item x="216"/>
        <item x="20"/>
        <item x="350"/>
        <item x="371"/>
        <item x="439"/>
        <item x="208"/>
        <item x="361"/>
        <item x="100"/>
        <item x="112"/>
        <item x="335"/>
        <item x="176"/>
        <item x="271"/>
        <item x="63"/>
        <item x="243"/>
        <item x="233"/>
        <item x="295"/>
        <item x="388"/>
        <item x="220"/>
        <item x="77"/>
        <item x="289"/>
        <item x="159"/>
        <item x="105"/>
        <item x="391"/>
        <item x="158"/>
        <item x="441"/>
        <item x="180"/>
        <item x="34"/>
        <item x="461"/>
        <item x="59"/>
        <item x="429"/>
        <item x="117"/>
        <item x="331"/>
        <item x="277"/>
        <item x="417"/>
        <item x="236"/>
        <item x="164"/>
        <item x="56"/>
        <item x="404"/>
        <item x="93"/>
        <item x="343"/>
        <item x="430"/>
        <item x="200"/>
        <item x="131"/>
        <item x="385"/>
        <item x="379"/>
        <item x="344"/>
        <item x="103"/>
        <item x="263"/>
        <item x="183"/>
        <item x="319"/>
        <item x="49"/>
        <item x="384"/>
        <item x="372"/>
        <item x="110"/>
        <item x="455"/>
        <item x="365"/>
        <item x="108"/>
        <item x="136"/>
        <item x="311"/>
        <item x="47"/>
        <item x="297"/>
        <item x="44"/>
        <item x="193"/>
        <item x="116"/>
        <item x="349"/>
        <item x="241"/>
        <item x="334"/>
        <item x="60"/>
        <item x="5"/>
        <item x="338"/>
        <item x="364"/>
        <item x="377"/>
        <item x="363"/>
        <item x="96"/>
        <item x="187"/>
        <item x="205"/>
        <item x="170"/>
        <item x="92"/>
        <item x="354"/>
        <item x="251"/>
        <item x="316"/>
        <item x="157"/>
        <item x="447"/>
        <item x="17"/>
        <item x="392"/>
        <item x="403"/>
        <item x="291"/>
        <item x="264"/>
        <item x="382"/>
        <item x="150"/>
        <item x="426"/>
        <item x="270"/>
        <item x="127"/>
        <item x="22"/>
        <item x="452"/>
        <item x="210"/>
        <item x="433"/>
        <item x="466"/>
        <item x="97"/>
        <item x="135"/>
        <item x="199"/>
        <item x="120"/>
        <item x="14"/>
        <item x="407"/>
        <item x="378"/>
        <item x="467"/>
        <item x="421"/>
        <item x="23"/>
        <item x="186"/>
        <item x="332"/>
        <item x="218"/>
        <item x="74"/>
        <item x="89"/>
        <item x="104"/>
        <item x="50"/>
        <item x="376"/>
        <item x="69"/>
        <item x="109"/>
        <item x="134"/>
        <item x="292"/>
        <item x="42"/>
        <item x="443"/>
        <item x="128"/>
        <item x="288"/>
        <item x="65"/>
        <item x="260"/>
        <item x="247"/>
        <item x="152"/>
        <item x="125"/>
        <item x="250"/>
        <item x="320"/>
        <item x="137"/>
        <item x="202"/>
        <item x="367"/>
        <item x="31"/>
        <item x="284"/>
        <item x="304"/>
        <item x="333"/>
        <item x="212"/>
        <item x="52"/>
        <item x="26"/>
        <item x="422"/>
        <item x="206"/>
        <item x="451"/>
        <item x="213"/>
        <item x="143"/>
        <item x="470"/>
        <item x="453"/>
        <item x="43"/>
        <item x="454"/>
        <item x="397"/>
        <item x="98"/>
        <item x="95"/>
        <item x="73"/>
        <item x="172"/>
        <item x="306"/>
        <item x="313"/>
        <item x="318"/>
        <item x="102"/>
        <item x="437"/>
        <item x="352"/>
        <item x="472"/>
        <item x="151"/>
        <item x="168"/>
        <item x="37"/>
        <item x="394"/>
        <item x="9"/>
        <item x="119"/>
        <item x="473"/>
        <item x="29"/>
        <item x="434"/>
        <item x="113"/>
        <item x="381"/>
        <item x="203"/>
        <item x="307"/>
        <item x="395"/>
        <item x="275"/>
        <item x="140"/>
        <item x="166"/>
        <item x="64"/>
        <item x="41"/>
        <item x="179"/>
        <item x="145"/>
        <item x="115"/>
        <item x="148"/>
        <item x="87"/>
        <item x="460"/>
        <item x="224"/>
        <item x="427"/>
        <item x="240"/>
        <item x="68"/>
        <item x="147"/>
        <item x="182"/>
        <item x="237"/>
        <item x="165"/>
        <item x="305"/>
        <item x="386"/>
        <item x="442"/>
        <item x="409"/>
        <item x="471"/>
        <item x="36"/>
        <item x="279"/>
        <item x="420"/>
        <item x="402"/>
        <item x="83"/>
        <item x="149"/>
        <item x="445"/>
        <item x="418"/>
        <item x="79"/>
        <item x="55"/>
        <item x="266"/>
        <item x="46"/>
        <item x="39"/>
        <item x="66"/>
        <item x="19"/>
        <item x="287"/>
        <item x="197"/>
        <item x="294"/>
        <item x="254"/>
        <item x="449"/>
        <item x="118"/>
        <item x="286"/>
        <item x="84"/>
        <item x="227"/>
        <item x="126"/>
        <item x="101"/>
        <item x="276"/>
        <item x="475"/>
        <item x="423"/>
        <item x="124"/>
        <item x="373"/>
        <item x="414"/>
        <item x="312"/>
        <item x="278"/>
        <item x="444"/>
        <item x="474"/>
        <item x="283"/>
        <item x="230"/>
        <item x="0"/>
        <item x="428"/>
        <item x="162"/>
        <item x="309"/>
        <item x="463"/>
        <item x="431"/>
        <item x="406"/>
        <item x="298"/>
        <item x="315"/>
        <item x="410"/>
        <item x="285"/>
        <item x="85"/>
        <item x="214"/>
        <item x="396"/>
        <item x="416"/>
        <item x="57"/>
        <item x="244"/>
        <item x="259"/>
        <item x="107"/>
        <item x="169"/>
        <item x="448"/>
        <item x="310"/>
        <item x="248"/>
        <item x="40"/>
        <item x="366"/>
        <item x="398"/>
        <item x="144"/>
        <item x="340"/>
        <item x="225"/>
        <item x="173"/>
        <item x="13"/>
        <item x="177"/>
        <item x="234"/>
        <item x="201"/>
        <item x="468"/>
        <item x="209"/>
        <item x="154"/>
        <item x="301"/>
        <item x="358"/>
        <item x="219"/>
        <item x="368"/>
        <item x="347"/>
        <item x="178"/>
        <item x="330"/>
        <item x="462"/>
        <item x="38"/>
        <item x="121"/>
        <item x="122"/>
        <item x="231"/>
        <item x="228"/>
        <item x="222"/>
        <item x="188"/>
        <item x="345"/>
        <item x="252"/>
        <item x="432"/>
        <item x="16"/>
        <item x="142"/>
        <item x="327"/>
        <item x="450"/>
        <item x="457"/>
        <item x="412"/>
        <item x="265"/>
        <item x="1"/>
        <item x="435"/>
        <item x="317"/>
        <item x="114"/>
        <item x="72"/>
        <item x="141"/>
        <item x="405"/>
        <item x="185"/>
        <item x="438"/>
        <item x="7"/>
        <item x="11"/>
        <item x="155"/>
        <item x="3"/>
        <item x="324"/>
        <item x="280"/>
        <item x="389"/>
        <item x="415"/>
        <item x="356"/>
        <item x="54"/>
        <item x="274"/>
        <item x="353"/>
        <item x="24"/>
        <item x="290"/>
        <item x="35"/>
        <item x="67"/>
        <item x="273"/>
        <item x="211"/>
        <item x="387"/>
        <item x="440"/>
        <item x="393"/>
        <item x="359"/>
        <item x="242"/>
        <item x="10"/>
        <item x="163"/>
        <item x="374"/>
        <item x="146"/>
        <item x="239"/>
        <item x="380"/>
        <item x="258"/>
        <item x="464"/>
        <item x="257"/>
        <item x="27"/>
        <item x="246"/>
        <item x="308"/>
        <item x="339"/>
        <item x="161"/>
        <item t="default"/>
      </items>
    </pivotField>
    <pivotField showAll="0"/>
    <pivotField showAll="0"/>
    <pivotField showAll="0"/>
  </pivotFields>
  <rowFields count="1">
    <field x="16"/>
  </rowFields>
  <rowItems count="4">
    <i>
      <x/>
    </i>
    <i>
      <x v="1"/>
    </i>
    <i>
      <x v="2"/>
    </i>
    <i t="grand">
      <x/>
    </i>
  </rowItems>
  <colItems count="1">
    <i/>
  </colItems>
  <dataFields count="1">
    <dataField name="Sum of Sales" fld="19"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1984A-7AB8-41EB-A6BE-55A5D77CBB53}"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8:K29" firstHeaderRow="1" firstDataRow="1" firstDataCol="0"/>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Items count="1">
    <i/>
  </rowItems>
  <colItems count="1">
    <i/>
  </colItems>
  <dataFields count="1">
    <dataField name="Total Sales" fld="19"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DBF64A-3B1A-48EE-8AE2-A47A3FBB6F2E}"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8:S29" firstHeaderRow="1" firstDataRow="1" firstDataCol="0"/>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showAll="0"/>
    <pivotField dataField="1" showAll="0"/>
    <pivotField showAll="0"/>
    <pivotField showAll="0"/>
  </pivotFields>
  <rowItems count="1">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96617-EE96-46CE-B48A-A345D1F6CDF3}"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8:O29" firstHeaderRow="1" firstDataRow="1" firstDataCol="0"/>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showAll="0"/>
    <pivotField showAll="0"/>
    <pivotField showAll="0"/>
    <pivotField dataField="1" showAll="0"/>
  </pivotFields>
  <rowItems count="1">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A71C2F-CED3-458A-A503-3723F749A7F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8:M29" firstHeaderRow="1" firstDataRow="1" firstDataCol="0"/>
  <pivotFields count="2">
    <pivotField dataField="1" showAll="0">
      <items count="2">
        <item x="0"/>
        <item t="default"/>
      </items>
    </pivotField>
    <pivotField showAll="0"/>
  </pivotFields>
  <rowItems count="1">
    <i/>
  </rowItems>
  <colItems count="1">
    <i/>
  </colItems>
  <dataFields count="1">
    <dataField name="Count of Return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89358-6808-46A8-B482-C3977DE022FE}"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8:Q29" firstHeaderRow="1" firstDataRow="1" firstDataCol="0"/>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showAll="0"/>
    <pivotField showAll="0"/>
    <pivotField dataField="1" showAll="0"/>
    <pivotField showAll="0"/>
  </pivotFields>
  <rowItems count="1">
    <i/>
  </rowItems>
  <colItems count="1">
    <i/>
  </colItems>
  <dataFields count="1">
    <dataField name="Sum of Disc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7E1220E-D778-4727-BA40-1F80D096A044}" name="pvt_St"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Sate">
  <location ref="N39:O50" firstHeaderRow="1" firstDataRow="1"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axis="axisRow" showAll="0" measureFilter="1" sortType="ascending">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12"/>
  </rowFields>
  <rowItems count="11">
    <i>
      <x v="16"/>
    </i>
    <i>
      <x v="25"/>
    </i>
    <i>
      <x v="1"/>
    </i>
    <i>
      <x v="7"/>
    </i>
    <i>
      <x v="35"/>
    </i>
    <i>
      <x v="28"/>
    </i>
    <i>
      <x v="9"/>
    </i>
    <i>
      <x v="23"/>
    </i>
    <i>
      <x v="3"/>
    </i>
    <i>
      <x v="32"/>
    </i>
    <i t="grand">
      <x/>
    </i>
  </rowItems>
  <colItems count="1">
    <i/>
  </colItems>
  <dataFields count="1">
    <dataField name="Sum of Sales" fld="19"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92403A4-6DE0-4605-8F00-DCBD3AB99A51}" name="pvt_Reg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10:B15" firstHeaderRow="1" firstDataRow="1"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showAll="0">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14"/>
  </rowFields>
  <rowItems count="5">
    <i>
      <x/>
    </i>
    <i>
      <x v="1"/>
    </i>
    <i>
      <x v="2"/>
    </i>
    <i>
      <x v="3"/>
    </i>
    <i t="grand">
      <x/>
    </i>
  </rowItems>
  <colItems count="1">
    <i/>
  </colItems>
  <dataFields count="1">
    <dataField name="Sum of Sales" fld="19" baseField="0" baseItem="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E572A1-19AC-4EE1-9128-90745475D9EA}" name="pvt_state"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State">
  <location ref="D19:H31" firstHeaderRow="1" firstDataRow="2" firstDataCol="1"/>
  <pivotFields count="23">
    <pivotField showAll="0"/>
    <pivotField showAll="0"/>
    <pivotField numFmtId="14" showAll="0"/>
    <pivotField showAll="0"/>
    <pivotField showAll="0">
      <items count="6">
        <item x="2"/>
        <item x="1"/>
        <item x="0"/>
        <item x="3"/>
        <item x="4"/>
        <item t="default"/>
      </items>
    </pivotField>
    <pivotField showAll="0"/>
    <pivotField showAll="0">
      <items count="5">
        <item x="2"/>
        <item x="3"/>
        <item x="0"/>
        <item x="1"/>
        <item t="default"/>
      </items>
    </pivotField>
    <pivotField showAll="0"/>
    <pivotField showAll="0">
      <items count="200">
        <item x="144"/>
        <item x="57"/>
        <item x="124"/>
        <item x="117"/>
        <item x="127"/>
        <item x="8"/>
        <item x="155"/>
        <item x="87"/>
        <item x="153"/>
        <item x="141"/>
        <item x="4"/>
        <item x="122"/>
        <item x="132"/>
        <item x="165"/>
        <item x="151"/>
        <item x="195"/>
        <item x="121"/>
        <item x="162"/>
        <item x="78"/>
        <item x="130"/>
        <item x="179"/>
        <item x="29"/>
        <item x="3"/>
        <item x="94"/>
        <item x="194"/>
        <item x="170"/>
        <item x="90"/>
        <item x="79"/>
        <item x="119"/>
        <item x="37"/>
        <item x="0"/>
        <item x="118"/>
        <item x="142"/>
        <item x="52"/>
        <item x="128"/>
        <item x="113"/>
        <item x="51"/>
        <item x="112"/>
        <item x="24"/>
        <item x="1"/>
        <item x="72"/>
        <item x="54"/>
        <item x="106"/>
        <item x="83"/>
        <item x="103"/>
        <item x="158"/>
        <item x="111"/>
        <item x="157"/>
        <item x="108"/>
        <item x="137"/>
        <item x="61"/>
        <item x="114"/>
        <item x="140"/>
        <item x="35"/>
        <item x="182"/>
        <item x="45"/>
        <item x="12"/>
        <item x="13"/>
        <item x="75"/>
        <item x="105"/>
        <item x="191"/>
        <item x="20"/>
        <item x="135"/>
        <item x="86"/>
        <item x="92"/>
        <item x="39"/>
        <item x="47"/>
        <item x="16"/>
        <item x="136"/>
        <item x="55"/>
        <item x="150"/>
        <item x="6"/>
        <item x="96"/>
        <item x="66"/>
        <item x="31"/>
        <item x="5"/>
        <item x="161"/>
        <item x="49"/>
        <item x="25"/>
        <item x="123"/>
        <item x="80"/>
        <item x="188"/>
        <item x="145"/>
        <item x="187"/>
        <item x="82"/>
        <item x="40"/>
        <item x="32"/>
        <item x="189"/>
        <item x="139"/>
        <item x="63"/>
        <item x="101"/>
        <item x="102"/>
        <item x="185"/>
        <item x="98"/>
        <item x="148"/>
        <item x="36"/>
        <item x="68"/>
        <item x="30"/>
        <item x="41"/>
        <item x="44"/>
        <item x="147"/>
        <item x="168"/>
        <item x="110"/>
        <item x="126"/>
        <item x="10"/>
        <item x="33"/>
        <item x="175"/>
        <item x="107"/>
        <item x="169"/>
        <item x="120"/>
        <item x="27"/>
        <item x="156"/>
        <item x="97"/>
        <item x="48"/>
        <item x="62"/>
        <item x="23"/>
        <item x="18"/>
        <item x="60"/>
        <item x="95"/>
        <item x="109"/>
        <item x="166"/>
        <item x="93"/>
        <item x="198"/>
        <item x="88"/>
        <item x="89"/>
        <item x="15"/>
        <item x="67"/>
        <item x="77"/>
        <item x="186"/>
        <item x="149"/>
        <item x="172"/>
        <item x="99"/>
        <item x="192"/>
        <item x="177"/>
        <item x="160"/>
        <item x="152"/>
        <item x="173"/>
        <item x="159"/>
        <item x="134"/>
        <item x="71"/>
        <item x="125"/>
        <item x="73"/>
        <item x="21"/>
        <item x="43"/>
        <item x="138"/>
        <item x="22"/>
        <item x="38"/>
        <item x="28"/>
        <item x="50"/>
        <item x="7"/>
        <item x="171"/>
        <item x="58"/>
        <item x="178"/>
        <item x="181"/>
        <item x="46"/>
        <item x="84"/>
        <item x="42"/>
        <item x="197"/>
        <item x="176"/>
        <item x="116"/>
        <item x="167"/>
        <item x="19"/>
        <item x="76"/>
        <item x="154"/>
        <item x="53"/>
        <item x="64"/>
        <item x="85"/>
        <item x="11"/>
        <item x="65"/>
        <item x="183"/>
        <item x="164"/>
        <item x="115"/>
        <item x="2"/>
        <item x="129"/>
        <item x="174"/>
        <item x="81"/>
        <item x="196"/>
        <item x="70"/>
        <item x="17"/>
        <item x="56"/>
        <item x="34"/>
        <item x="193"/>
        <item x="133"/>
        <item x="143"/>
        <item x="69"/>
        <item x="184"/>
        <item x="26"/>
        <item x="74"/>
        <item x="131"/>
        <item x="14"/>
        <item x="180"/>
        <item x="59"/>
        <item x="104"/>
        <item x="91"/>
        <item x="163"/>
        <item x="146"/>
        <item x="100"/>
        <item x="190"/>
        <item x="9"/>
        <item t="default"/>
      </items>
    </pivotField>
    <pivotField showAll="0"/>
    <pivotField showAll="0"/>
    <pivotField showAll="0">
      <items count="118">
        <item x="59"/>
        <item x="112"/>
        <item x="81"/>
        <item x="82"/>
        <item x="109"/>
        <item x="34"/>
        <item x="89"/>
        <item x="78"/>
        <item x="41"/>
        <item x="71"/>
        <item x="39"/>
        <item x="105"/>
        <item x="51"/>
        <item x="72"/>
        <item x="35"/>
        <item x="22"/>
        <item x="74"/>
        <item x="77"/>
        <item x="29"/>
        <item x="38"/>
        <item x="3"/>
        <item x="116"/>
        <item x="61"/>
        <item x="27"/>
        <item x="60"/>
        <item x="96"/>
        <item x="66"/>
        <item x="18"/>
        <item x="65"/>
        <item x="28"/>
        <item x="16"/>
        <item x="50"/>
        <item x="54"/>
        <item x="115"/>
        <item x="2"/>
        <item x="5"/>
        <item x="47"/>
        <item x="9"/>
        <item x="107"/>
        <item x="23"/>
        <item x="55"/>
        <item x="83"/>
        <item x="57"/>
        <item x="92"/>
        <item x="0"/>
        <item x="86"/>
        <item x="12"/>
        <item x="101"/>
        <item x="114"/>
        <item x="44"/>
        <item x="75"/>
        <item x="25"/>
        <item x="108"/>
        <item x="69"/>
        <item x="80"/>
        <item x="98"/>
        <item x="104"/>
        <item x="88"/>
        <item x="113"/>
        <item x="85"/>
        <item x="1"/>
        <item x="103"/>
        <item x="90"/>
        <item x="6"/>
        <item x="91"/>
        <item x="64"/>
        <item x="15"/>
        <item x="26"/>
        <item x="100"/>
        <item x="31"/>
        <item x="53"/>
        <item x="73"/>
        <item x="87"/>
        <item x="14"/>
        <item x="19"/>
        <item x="106"/>
        <item x="20"/>
        <item x="46"/>
        <item x="110"/>
        <item x="11"/>
        <item x="36"/>
        <item x="111"/>
        <item x="45"/>
        <item x="95"/>
        <item x="97"/>
        <item x="10"/>
        <item x="42"/>
        <item x="32"/>
        <item x="94"/>
        <item x="56"/>
        <item x="13"/>
        <item x="102"/>
        <item x="30"/>
        <item x="43"/>
        <item x="63"/>
        <item x="33"/>
        <item x="84"/>
        <item x="52"/>
        <item x="70"/>
        <item x="8"/>
        <item x="49"/>
        <item x="68"/>
        <item x="48"/>
        <item x="4"/>
        <item x="24"/>
        <item x="76"/>
        <item x="67"/>
        <item x="79"/>
        <item x="21"/>
        <item x="93"/>
        <item x="37"/>
        <item x="99"/>
        <item x="7"/>
        <item x="58"/>
        <item x="17"/>
        <item x="62"/>
        <item x="40"/>
        <item t="default"/>
      </items>
    </pivotField>
    <pivotField axis="axisRow" showAll="0" measureFilter="1">
      <items count="38">
        <item x="19"/>
        <item x="16"/>
        <item x="36"/>
        <item x="1"/>
        <item x="22"/>
        <item x="29"/>
        <item x="13"/>
        <item x="2"/>
        <item x="32"/>
        <item x="10"/>
        <item x="14"/>
        <item x="23"/>
        <item x="0"/>
        <item x="28"/>
        <item x="31"/>
        <item x="12"/>
        <item x="11"/>
        <item x="35"/>
        <item x="25"/>
        <item x="8"/>
        <item x="33"/>
        <item x="30"/>
        <item x="27"/>
        <item x="15"/>
        <item x="3"/>
        <item x="24"/>
        <item x="26"/>
        <item x="21"/>
        <item x="9"/>
        <item x="34"/>
        <item x="20"/>
        <item x="18"/>
        <item x="5"/>
        <item x="7"/>
        <item x="17"/>
        <item x="4"/>
        <item x="6"/>
        <item t="default"/>
      </items>
    </pivotField>
    <pivotField showAll="0"/>
    <pivotField showAll="0">
      <items count="5">
        <item x="2"/>
        <item x="3"/>
        <item x="0"/>
        <item x="1"/>
        <item t="default"/>
      </items>
    </pivotField>
    <pivotField showAll="0"/>
    <pivotField axis="axisCol" showAll="0">
      <items count="4">
        <item x="0"/>
        <item x="1"/>
        <item x="2"/>
        <item t="default"/>
      </items>
    </pivotField>
    <pivotField showAll="0"/>
    <pivotField showAll="0">
      <items count="443">
        <item x="318"/>
        <item x="36"/>
        <item x="77"/>
        <item x="352"/>
        <item x="345"/>
        <item x="408"/>
        <item x="182"/>
        <item x="401"/>
        <item x="74"/>
        <item x="93"/>
        <item x="297"/>
        <item x="237"/>
        <item x="167"/>
        <item x="410"/>
        <item x="315"/>
        <item x="31"/>
        <item x="61"/>
        <item x="22"/>
        <item x="354"/>
        <item x="169"/>
        <item x="320"/>
        <item x="162"/>
        <item x="227"/>
        <item x="253"/>
        <item x="246"/>
        <item x="203"/>
        <item x="42"/>
        <item x="52"/>
        <item x="196"/>
        <item x="263"/>
        <item x="337"/>
        <item x="429"/>
        <item x="391"/>
        <item x="373"/>
        <item x="250"/>
        <item x="347"/>
        <item x="126"/>
        <item x="141"/>
        <item x="432"/>
        <item x="57"/>
        <item x="116"/>
        <item x="288"/>
        <item x="302"/>
        <item x="53"/>
        <item x="173"/>
        <item x="37"/>
        <item x="179"/>
        <item x="150"/>
        <item x="49"/>
        <item x="255"/>
        <item x="199"/>
        <item x="286"/>
        <item x="166"/>
        <item x="85"/>
        <item x="264"/>
        <item x="149"/>
        <item x="396"/>
        <item x="322"/>
        <item x="68"/>
        <item x="109"/>
        <item x="122"/>
        <item x="78"/>
        <item x="98"/>
        <item x="359"/>
        <item x="307"/>
        <item x="96"/>
        <item x="176"/>
        <item x="276"/>
        <item x="27"/>
        <item x="102"/>
        <item x="243"/>
        <item x="438"/>
        <item x="233"/>
        <item x="143"/>
        <item x="321"/>
        <item x="9"/>
        <item x="403"/>
        <item x="387"/>
        <item x="210"/>
        <item x="121"/>
        <item x="258"/>
        <item x="363"/>
        <item x="371"/>
        <item x="155"/>
        <item x="313"/>
        <item x="183"/>
        <item x="184"/>
        <item x="257"/>
        <item x="400"/>
        <item x="281"/>
        <item x="30"/>
        <item x="290"/>
        <item x="189"/>
        <item x="277"/>
        <item x="190"/>
        <item x="3"/>
        <item x="216"/>
        <item x="370"/>
        <item x="411"/>
        <item x="215"/>
        <item x="415"/>
        <item x="0"/>
        <item x="266"/>
        <item x="388"/>
        <item x="292"/>
        <item x="349"/>
        <item x="416"/>
        <item x="10"/>
        <item x="201"/>
        <item x="240"/>
        <item x="19"/>
        <item x="424"/>
        <item x="440"/>
        <item x="283"/>
        <item x="48"/>
        <item x="436"/>
        <item x="379"/>
        <item x="117"/>
        <item x="356"/>
        <item x="136"/>
        <item x="377"/>
        <item x="346"/>
        <item x="185"/>
        <item x="421"/>
        <item x="101"/>
        <item x="287"/>
        <item x="404"/>
        <item x="382"/>
        <item x="319"/>
        <item x="291"/>
        <item x="8"/>
        <item x="33"/>
        <item x="417"/>
        <item x="73"/>
        <item x="225"/>
        <item x="192"/>
        <item x="41"/>
        <item x="125"/>
        <item x="269"/>
        <item x="76"/>
        <item x="285"/>
        <item x="5"/>
        <item x="4"/>
        <item x="393"/>
        <item x="86"/>
        <item x="254"/>
        <item x="325"/>
        <item x="278"/>
        <item x="35"/>
        <item x="381"/>
        <item x="238"/>
        <item x="191"/>
        <item x="206"/>
        <item x="282"/>
        <item x="399"/>
        <item x="392"/>
        <item x="95"/>
        <item x="435"/>
        <item x="13"/>
        <item x="231"/>
        <item x="414"/>
        <item x="426"/>
        <item x="17"/>
        <item x="330"/>
        <item x="298"/>
        <item x="134"/>
        <item x="92"/>
        <item x="275"/>
        <item x="280"/>
        <item x="115"/>
        <item x="316"/>
        <item x="214"/>
        <item x="301"/>
        <item x="142"/>
        <item x="383"/>
        <item x="338"/>
        <item x="261"/>
        <item x="380"/>
        <item x="133"/>
        <item x="34"/>
        <item x="397"/>
        <item x="120"/>
        <item x="268"/>
        <item x="23"/>
        <item x="390"/>
        <item x="323"/>
        <item x="38"/>
        <item x="406"/>
        <item x="229"/>
        <item x="51"/>
        <item x="212"/>
        <item x="213"/>
        <item x="124"/>
        <item x="64"/>
        <item x="164"/>
        <item x="118"/>
        <item x="197"/>
        <item x="45"/>
        <item x="306"/>
        <item x="70"/>
        <item x="336"/>
        <item x="14"/>
        <item x="54"/>
        <item x="299"/>
        <item x="284"/>
        <item x="407"/>
        <item x="309"/>
        <item x="1"/>
        <item x="378"/>
        <item x="342"/>
        <item x="114"/>
        <item x="228"/>
        <item x="267"/>
        <item x="28"/>
        <item x="441"/>
        <item x="175"/>
        <item x="65"/>
        <item x="108"/>
        <item x="180"/>
        <item x="270"/>
        <item x="303"/>
        <item x="91"/>
        <item x="132"/>
        <item x="431"/>
        <item x="46"/>
        <item x="25"/>
        <item x="172"/>
        <item x="427"/>
        <item x="386"/>
        <item x="144"/>
        <item x="161"/>
        <item x="81"/>
        <item x="165"/>
        <item x="160"/>
        <item x="375"/>
        <item x="224"/>
        <item x="119"/>
        <item x="11"/>
        <item x="152"/>
        <item x="385"/>
        <item x="344"/>
        <item x="156"/>
        <item x="47"/>
        <item x="247"/>
        <item x="428"/>
        <item x="409"/>
        <item x="100"/>
        <item x="434"/>
        <item x="343"/>
        <item x="234"/>
        <item x="265"/>
        <item x="295"/>
        <item x="106"/>
        <item x="84"/>
        <item x="218"/>
        <item x="50"/>
        <item x="32"/>
        <item x="63"/>
        <item x="221"/>
        <item x="107"/>
        <item x="198"/>
        <item x="405"/>
        <item x="103"/>
        <item x="259"/>
        <item x="333"/>
        <item x="241"/>
        <item x="7"/>
        <item x="331"/>
        <item x="293"/>
        <item x="66"/>
        <item x="148"/>
        <item x="311"/>
        <item x="21"/>
        <item x="6"/>
        <item x="332"/>
        <item x="251"/>
        <item x="324"/>
        <item x="18"/>
        <item x="402"/>
        <item x="135"/>
        <item x="398"/>
        <item x="279"/>
        <item x="105"/>
        <item x="174"/>
        <item x="193"/>
        <item x="348"/>
        <item x="368"/>
        <item x="83"/>
        <item x="56"/>
        <item x="335"/>
        <item x="395"/>
        <item x="294"/>
        <item x="310"/>
        <item x="204"/>
        <item x="110"/>
        <item x="200"/>
        <item x="367"/>
        <item x="430"/>
        <item x="168"/>
        <item x="195"/>
        <item x="40"/>
        <item x="178"/>
        <item x="328"/>
        <item x="140"/>
        <item x="39"/>
        <item x="58"/>
        <item x="412"/>
        <item x="29"/>
        <item x="252"/>
        <item x="425"/>
        <item x="59"/>
        <item x="262"/>
        <item x="413"/>
        <item x="79"/>
        <item x="186"/>
        <item x="249"/>
        <item x="223"/>
        <item x="242"/>
        <item x="422"/>
        <item x="245"/>
        <item x="111"/>
        <item x="248"/>
        <item x="26"/>
        <item x="211"/>
        <item x="256"/>
        <item x="300"/>
        <item x="235"/>
        <item x="158"/>
        <item x="418"/>
        <item x="244"/>
        <item x="236"/>
        <item x="82"/>
        <item x="72"/>
        <item x="226"/>
        <item x="420"/>
        <item x="177"/>
        <item x="97"/>
        <item x="131"/>
        <item x="170"/>
        <item x="159"/>
        <item x="209"/>
        <item x="138"/>
        <item x="317"/>
        <item x="419"/>
        <item x="2"/>
        <item x="365"/>
        <item x="90"/>
        <item x="139"/>
        <item x="361"/>
        <item x="75"/>
        <item x="67"/>
        <item x="341"/>
        <item x="357"/>
        <item x="202"/>
        <item x="437"/>
        <item x="80"/>
        <item x="145"/>
        <item x="188"/>
        <item x="339"/>
        <item x="157"/>
        <item x="104"/>
        <item x="433"/>
        <item x="312"/>
        <item x="340"/>
        <item x="208"/>
        <item x="153"/>
        <item x="360"/>
        <item x="327"/>
        <item x="222"/>
        <item x="128"/>
        <item x="305"/>
        <item x="15"/>
        <item x="439"/>
        <item x="16"/>
        <item x="355"/>
        <item x="207"/>
        <item x="69"/>
        <item x="296"/>
        <item x="217"/>
        <item x="171"/>
        <item x="147"/>
        <item x="71"/>
        <item x="194"/>
        <item x="273"/>
        <item x="123"/>
        <item x="94"/>
        <item x="308"/>
        <item x="351"/>
        <item x="87"/>
        <item x="113"/>
        <item x="232"/>
        <item x="99"/>
        <item x="43"/>
        <item x="60"/>
        <item x="271"/>
        <item x="376"/>
        <item x="205"/>
        <item x="374"/>
        <item x="326"/>
        <item x="24"/>
        <item x="350"/>
        <item x="304"/>
        <item x="20"/>
        <item x="154"/>
        <item x="44"/>
        <item x="362"/>
        <item x="187"/>
        <item x="230"/>
        <item x="364"/>
        <item x="384"/>
        <item x="130"/>
        <item x="314"/>
        <item x="146"/>
        <item x="389"/>
        <item x="366"/>
        <item x="369"/>
        <item x="137"/>
        <item x="423"/>
        <item x="163"/>
        <item x="127"/>
        <item x="151"/>
        <item x="112"/>
        <item x="329"/>
        <item x="274"/>
        <item x="62"/>
        <item x="129"/>
        <item x="220"/>
        <item x="353"/>
        <item x="334"/>
        <item x="12"/>
        <item x="358"/>
        <item x="372"/>
        <item x="88"/>
        <item x="89"/>
        <item x="181"/>
        <item x="289"/>
        <item x="260"/>
        <item x="272"/>
        <item x="55"/>
        <item x="219"/>
        <item x="394"/>
        <item x="239"/>
        <item t="default"/>
      </items>
    </pivotField>
    <pivotField dataField="1" showAll="0"/>
    <pivotField showAll="0"/>
    <pivotField showAll="0"/>
    <pivotField showAll="0"/>
  </pivotFields>
  <rowFields count="1">
    <field x="12"/>
  </rowFields>
  <rowItems count="11">
    <i>
      <x v="1"/>
    </i>
    <i>
      <x v="3"/>
    </i>
    <i>
      <x v="7"/>
    </i>
    <i>
      <x v="9"/>
    </i>
    <i>
      <x v="16"/>
    </i>
    <i>
      <x v="23"/>
    </i>
    <i>
      <x v="25"/>
    </i>
    <i>
      <x v="28"/>
    </i>
    <i>
      <x v="32"/>
    </i>
    <i>
      <x v="35"/>
    </i>
    <i t="grand">
      <x/>
    </i>
  </rowItems>
  <colFields count="1">
    <field x="16"/>
  </colFields>
  <colItems count="4">
    <i>
      <x/>
    </i>
    <i>
      <x v="1"/>
    </i>
    <i>
      <x v="2"/>
    </i>
    <i t="grand">
      <x/>
    </i>
  </colItems>
  <dataFields count="1">
    <dataField name="Sales By Sate &amp;Cat" fld="19" baseField="0" baseItem="0"/>
  </dataFields>
  <chartFormats count="10">
    <chartFormat chart="16" format="3" series="1">
      <pivotArea type="data" outline="0" fieldPosition="0">
        <references count="2">
          <reference field="4294967294" count="1" selected="0">
            <x v="0"/>
          </reference>
          <reference field="16" count="1" selected="0">
            <x v="0"/>
          </reference>
        </references>
      </pivotArea>
    </chartFormat>
    <chartFormat chart="16" format="4" series="1">
      <pivotArea type="data" outline="0" fieldPosition="0">
        <references count="2">
          <reference field="4294967294" count="1" selected="0">
            <x v="0"/>
          </reference>
          <reference field="16" count="1" selected="0">
            <x v="1"/>
          </reference>
        </references>
      </pivotArea>
    </chartFormat>
    <chartFormat chart="16" format="5" series="1">
      <pivotArea type="data" outline="0" fieldPosition="0">
        <references count="2">
          <reference field="4294967294" count="1" selected="0">
            <x v="0"/>
          </reference>
          <reference field="16" count="1" selected="0">
            <x v="2"/>
          </reference>
        </references>
      </pivotArea>
    </chartFormat>
    <chartFormat chart="17" format="6" series="1">
      <pivotArea type="data" outline="0" fieldPosition="0">
        <references count="2">
          <reference field="4294967294" count="1" selected="0">
            <x v="0"/>
          </reference>
          <reference field="16" count="1" selected="0">
            <x v="0"/>
          </reference>
        </references>
      </pivotArea>
    </chartFormat>
    <chartFormat chart="17" format="7" series="1">
      <pivotArea type="data" outline="0" fieldPosition="0">
        <references count="2">
          <reference field="4294967294" count="1" selected="0">
            <x v="0"/>
          </reference>
          <reference field="16" count="1" selected="0">
            <x v="1"/>
          </reference>
        </references>
      </pivotArea>
    </chartFormat>
    <chartFormat chart="17" format="8" series="1">
      <pivotArea type="data" outline="0" fieldPosition="0">
        <references count="2">
          <reference field="4294967294" count="1" selected="0">
            <x v="0"/>
          </reference>
          <reference field="16" count="1" selected="0">
            <x v="2"/>
          </reference>
        </references>
      </pivotArea>
    </chartFormat>
    <chartFormat chart="18" format="6" series="1">
      <pivotArea type="data" outline="0" fieldPosition="0">
        <references count="2">
          <reference field="4294967294" count="1" selected="0">
            <x v="0"/>
          </reference>
          <reference field="16" count="1" selected="0">
            <x v="0"/>
          </reference>
        </references>
      </pivotArea>
    </chartFormat>
    <chartFormat chart="18" format="7" series="1">
      <pivotArea type="data" outline="0" fieldPosition="0">
        <references count="2">
          <reference field="4294967294" count="1" selected="0">
            <x v="0"/>
          </reference>
          <reference field="16" count="1" selected="0">
            <x v="1"/>
          </reference>
        </references>
      </pivotArea>
    </chartFormat>
    <chartFormat chart="18" format="8" series="1">
      <pivotArea type="data" outline="0" fieldPosition="0">
        <references count="2">
          <reference field="4294967294" count="1" selected="0">
            <x v="0"/>
          </reference>
          <reference field="16" count="1" selected="0">
            <x v="2"/>
          </reference>
        </references>
      </pivotArea>
    </chartFormat>
    <chartFormat chart="1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97DCB1-E3FF-4085-A85B-5527C400AED5}" sourceName="Year">
  <pivotTables>
    <pivotTable tabId="5" name="pvt_Category"/>
    <pivotTable tabId="5" name="PivotTable10"/>
    <pivotTable tabId="5" name="PivotTable11"/>
    <pivotTable tabId="5" name="PivotTable12"/>
    <pivotTable tabId="5" name="PivotTable8"/>
    <pivotTable tabId="5" name="pvt_St"/>
    <pivotTable tabId="5" name="pvt_state"/>
    <pivotTable tabId="5" name="pvt_subCategory"/>
    <pivotTable tabId="5" name="pvt_city"/>
    <pivotTable tabId="5" name="pvt_Region"/>
    <pivotTable tabId="5" name="PivotTable3"/>
    <pivotTable tabId="5" name="PivotTable4"/>
  </pivotTables>
  <data>
    <tabular pivotCacheId="1216411074">
      <items count="5">
        <i x="2" s="1"/>
        <i x="1" s="1"/>
        <i x="0" s="1"/>
        <i x="3" s="1"/>
        <i x="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5D808CB-263F-4AEB-A1C5-DF3020EB4658}" sourceName="City">
  <pivotTables>
    <pivotTable tabId="5" name="pvt_Category"/>
    <pivotTable tabId="5" name="PivotTable10"/>
    <pivotTable tabId="5" name="PivotTable11"/>
    <pivotTable tabId="5" name="PivotTable12"/>
    <pivotTable tabId="5" name="pvt_city"/>
    <pivotTable tabId="5" name="pvt_Region"/>
    <pivotTable tabId="5" name="pvt_St"/>
    <pivotTable tabId="5" name="pvt_state"/>
    <pivotTable tabId="5" name="pvt_subCategory"/>
    <pivotTable tabId="5" name="PivotTable3"/>
    <pivotTable tabId="5" name="PivotTable4"/>
    <pivotTable tabId="5" name="PivotTable8"/>
  </pivotTables>
  <data>
    <tabular pivotCacheId="1216411074">
      <items count="117">
        <i x="59" s="1"/>
        <i x="112" s="1"/>
        <i x="81" s="1"/>
        <i x="82" s="1"/>
        <i x="109" s="1"/>
        <i x="34" s="1"/>
        <i x="89" s="1"/>
        <i x="78" s="1"/>
        <i x="41" s="1"/>
        <i x="71" s="1"/>
        <i x="39" s="1"/>
        <i x="105" s="1"/>
        <i x="51" s="1"/>
        <i x="72" s="1"/>
        <i x="35" s="1"/>
        <i x="22" s="1"/>
        <i x="74" s="1"/>
        <i x="77" s="1"/>
        <i x="29" s="1"/>
        <i x="38" s="1"/>
        <i x="3" s="1"/>
        <i x="116" s="1"/>
        <i x="61" s="1"/>
        <i x="27" s="1"/>
        <i x="60" s="1"/>
        <i x="96" s="1"/>
        <i x="66" s="1"/>
        <i x="18" s="1"/>
        <i x="65" s="1"/>
        <i x="28" s="1"/>
        <i x="16" s="1"/>
        <i x="50" s="1"/>
        <i x="54" s="1"/>
        <i x="115" s="1"/>
        <i x="2" s="1"/>
        <i x="5" s="1"/>
        <i x="47" s="1"/>
        <i x="9" s="1"/>
        <i x="107" s="1"/>
        <i x="23" s="1"/>
        <i x="55" s="1"/>
        <i x="83" s="1"/>
        <i x="57" s="1"/>
        <i x="92" s="1"/>
        <i x="0" s="1"/>
        <i x="86" s="1"/>
        <i x="12" s="1"/>
        <i x="101" s="1"/>
        <i x="114" s="1"/>
        <i x="44" s="1"/>
        <i x="75" s="1"/>
        <i x="25" s="1"/>
        <i x="108" s="1"/>
        <i x="69" s="1"/>
        <i x="80" s="1"/>
        <i x="98" s="1"/>
        <i x="104" s="1"/>
        <i x="88" s="1"/>
        <i x="113" s="1"/>
        <i x="85" s="1"/>
        <i x="1" s="1"/>
        <i x="103" s="1"/>
        <i x="90" s="1"/>
        <i x="6" s="1"/>
        <i x="91" s="1"/>
        <i x="64" s="1"/>
        <i x="15" s="1"/>
        <i x="26" s="1"/>
        <i x="100" s="1"/>
        <i x="31" s="1"/>
        <i x="53" s="1"/>
        <i x="73" s="1"/>
        <i x="87" s="1"/>
        <i x="14" s="1"/>
        <i x="19" s="1"/>
        <i x="106" s="1"/>
        <i x="20" s="1"/>
        <i x="46" s="1"/>
        <i x="110" s="1"/>
        <i x="11" s="1"/>
        <i x="36" s="1"/>
        <i x="111" s="1"/>
        <i x="45" s="1"/>
        <i x="95" s="1"/>
        <i x="97" s="1"/>
        <i x="10" s="1"/>
        <i x="42" s="1"/>
        <i x="32" s="1"/>
        <i x="94" s="1"/>
        <i x="56" s="1"/>
        <i x="13" s="1"/>
        <i x="102" s="1"/>
        <i x="30" s="1"/>
        <i x="43" s="1"/>
        <i x="63" s="1"/>
        <i x="33" s="1"/>
        <i x="84" s="1"/>
        <i x="52" s="1"/>
        <i x="70" s="1"/>
        <i x="8" s="1"/>
        <i x="49" s="1"/>
        <i x="68" s="1"/>
        <i x="48" s="1"/>
        <i x="4" s="1"/>
        <i x="24" s="1"/>
        <i x="76" s="1"/>
        <i x="67" s="1"/>
        <i x="79" s="1"/>
        <i x="21" s="1"/>
        <i x="93" s="1"/>
        <i x="37" s="1"/>
        <i x="99" s="1"/>
        <i x="7" s="1"/>
        <i x="58" s="1"/>
        <i x="17" s="1"/>
        <i x="62" s="1"/>
        <i x="4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788F7E8-4AF4-49F3-9199-126873615BAB}" sourceName="State">
  <pivotTables>
    <pivotTable tabId="5" name="pvt_Category"/>
    <pivotTable tabId="5" name="PivotTable10"/>
    <pivotTable tabId="5" name="PivotTable11"/>
    <pivotTable tabId="5" name="PivotTable12"/>
    <pivotTable tabId="5" name="PivotTable8"/>
    <pivotTable tabId="5" name="pvt_city"/>
    <pivotTable tabId="5" name="pvt_St"/>
    <pivotTable tabId="5" name="pvt_state"/>
    <pivotTable tabId="5" name="pvt_subCategory"/>
    <pivotTable tabId="5" name="pvt_Region"/>
    <pivotTable tabId="5" name="PivotTable3"/>
    <pivotTable tabId="5" name="PivotTable4"/>
  </pivotTables>
  <data>
    <tabular pivotCacheId="1216411074">
      <items count="37">
        <i x="19" s="1"/>
        <i x="16" s="1"/>
        <i x="36" s="1"/>
        <i x="1" s="1"/>
        <i x="22" s="1"/>
        <i x="29" s="1"/>
        <i x="13" s="1"/>
        <i x="2" s="1"/>
        <i x="32" s="1"/>
        <i x="10" s="1"/>
        <i x="14" s="1"/>
        <i x="23" s="1"/>
        <i x="0" s="1"/>
        <i x="28" s="1"/>
        <i x="31" s="1"/>
        <i x="12" s="1"/>
        <i x="11" s="1"/>
        <i x="35" s="1"/>
        <i x="25" s="1"/>
        <i x="8" s="1"/>
        <i x="33" s="1"/>
        <i x="30" s="1"/>
        <i x="27" s="1"/>
        <i x="15" s="1"/>
        <i x="3" s="1"/>
        <i x="24" s="1"/>
        <i x="26" s="1"/>
        <i x="21" s="1"/>
        <i x="9" s="1"/>
        <i x="34" s="1"/>
        <i x="20" s="1"/>
        <i x="18" s="1"/>
        <i x="5" s="1"/>
        <i x="7" s="1"/>
        <i x="17" s="1"/>
        <i x="4" s="1"/>
        <i x="6"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BE17D1-52B1-4BE3-B0FB-AD68DB094686}" sourceName="Category">
  <pivotTables>
    <pivotTable tabId="5" name="pvt_Category"/>
    <pivotTable tabId="5" name="PivotTable10"/>
    <pivotTable tabId="5" name="PivotTable11"/>
    <pivotTable tabId="5" name="PivotTable12"/>
    <pivotTable tabId="5" name="pvt_city"/>
    <pivotTable tabId="5" name="pvt_Region"/>
    <pivotTable tabId="5" name="pvt_St"/>
    <pivotTable tabId="5" name="pvt_state"/>
    <pivotTable tabId="5" name="pvt_subCategory"/>
    <pivotTable tabId="5" name="PivotTable3"/>
    <pivotTable tabId="5" name="PivotTable4"/>
    <pivotTable tabId="5" name="PivotTable8"/>
  </pivotTables>
  <data>
    <tabular pivotCacheId="1216411074">
      <items count="3">
        <i x="0" s="1"/>
        <i x="1" s="1"/>
        <i x="2"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F50575-4EE2-4DA3-A918-97864AEA2972}" sourceName="Region">
  <pivotTables>
    <pivotTable tabId="5" name="pvt_Category"/>
    <pivotTable tabId="5" name="PivotTable10"/>
    <pivotTable tabId="5" name="PivotTable11"/>
    <pivotTable tabId="5" name="PivotTable12"/>
    <pivotTable tabId="5" name="PivotTable8"/>
    <pivotTable tabId="5" name="pvt_city"/>
    <pivotTable tabId="5" name="pvt_Region"/>
    <pivotTable tabId="5" name="pvt_St"/>
    <pivotTable tabId="5" name="pvt_state"/>
    <pivotTable tabId="5" name="pvt_subCategory"/>
    <pivotTable tabId="5" name="PivotTable3"/>
    <pivotTable tabId="5" name="PivotTable4"/>
  </pivotTables>
  <data>
    <tabular pivotCacheId="1216411074">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3D594AA-6078-463E-A2A8-225CD6E19D00}" sourceName="Ship Mode">
  <pivotTables>
    <pivotTable tabId="5" name="pvt_Category"/>
    <pivotTable tabId="5" name="PivotTable10"/>
    <pivotTable tabId="5" name="PivotTable11"/>
    <pivotTable tabId="5" name="PivotTable12"/>
    <pivotTable tabId="5" name="PivotTable8"/>
    <pivotTable tabId="5" name="pvt_St"/>
    <pivotTable tabId="5" name="pvt_state"/>
    <pivotTable tabId="5" name="pvt_subCategory"/>
    <pivotTable tabId="5" name="pvt_city"/>
    <pivotTable tabId="5" name="pvt_Region"/>
  </pivotTables>
  <data>
    <tabular pivotCacheId="1216411074">
      <items count="4">
        <i x="2" s="1"/>
        <i x="3" s="1"/>
        <i x="0" s="1"/>
        <i x="1" s="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9373E52-0B77-4640-9170-C4E24997F7BA}" sourceName="Product Name">
  <pivotTables>
    <pivotTable tabId="5" name="pvt_Category"/>
    <pivotTable tabId="5" name="PivotTable10"/>
    <pivotTable tabId="5" name="PivotTable11"/>
    <pivotTable tabId="5" name="PivotTable12"/>
    <pivotTable tabId="5" name="PivotTable8"/>
    <pivotTable tabId="5" name="pvt_city"/>
    <pivotTable tabId="5" name="pvt_St"/>
    <pivotTable tabId="5" name="pvt_state"/>
    <pivotTable tabId="5" name="pvt_subCategory"/>
    <pivotTable tabId="5" name="pvt_Region"/>
    <pivotTable tabId="5" name="PivotTable3"/>
    <pivotTable tabId="5" name="PivotTable4"/>
  </pivotTables>
  <data>
    <tabular pivotCacheId="1216411074">
      <items count="442">
        <i x="318" s="1"/>
        <i x="36" s="1"/>
        <i x="77" s="1"/>
        <i x="352" s="1"/>
        <i x="345" s="1"/>
        <i x="408" s="1"/>
        <i x="182" s="1"/>
        <i x="401" s="1"/>
        <i x="74" s="1"/>
        <i x="93" s="1"/>
        <i x="297" s="1"/>
        <i x="237" s="1"/>
        <i x="167" s="1"/>
        <i x="410" s="1"/>
        <i x="315" s="1"/>
        <i x="31" s="1"/>
        <i x="61" s="1"/>
        <i x="22" s="1"/>
        <i x="354" s="1"/>
        <i x="169" s="1"/>
        <i x="320" s="1"/>
        <i x="162" s="1"/>
        <i x="227" s="1"/>
        <i x="253" s="1"/>
        <i x="246" s="1"/>
        <i x="203" s="1"/>
        <i x="42" s="1"/>
        <i x="52" s="1"/>
        <i x="196" s="1"/>
        <i x="263" s="1"/>
        <i x="337" s="1"/>
        <i x="429" s="1"/>
        <i x="391" s="1"/>
        <i x="373" s="1"/>
        <i x="250" s="1"/>
        <i x="347" s="1"/>
        <i x="126" s="1"/>
        <i x="141" s="1"/>
        <i x="432" s="1"/>
        <i x="57" s="1"/>
        <i x="116" s="1"/>
        <i x="288" s="1"/>
        <i x="302" s="1"/>
        <i x="53" s="1"/>
        <i x="173" s="1"/>
        <i x="37" s="1"/>
        <i x="179" s="1"/>
        <i x="150" s="1"/>
        <i x="49" s="1"/>
        <i x="255" s="1"/>
        <i x="199" s="1"/>
        <i x="286" s="1"/>
        <i x="166" s="1"/>
        <i x="85" s="1"/>
        <i x="264" s="1"/>
        <i x="149" s="1"/>
        <i x="396" s="1"/>
        <i x="322" s="1"/>
        <i x="68" s="1"/>
        <i x="109" s="1"/>
        <i x="122" s="1"/>
        <i x="78" s="1"/>
        <i x="98" s="1"/>
        <i x="359" s="1"/>
        <i x="307" s="1"/>
        <i x="96" s="1"/>
        <i x="176" s="1"/>
        <i x="276" s="1"/>
        <i x="27" s="1"/>
        <i x="102" s="1"/>
        <i x="243" s="1"/>
        <i x="438" s="1"/>
        <i x="233" s="1"/>
        <i x="143" s="1"/>
        <i x="321" s="1"/>
        <i x="9" s="1"/>
        <i x="403" s="1"/>
        <i x="387" s="1"/>
        <i x="210" s="1"/>
        <i x="121" s="1"/>
        <i x="258" s="1"/>
        <i x="363" s="1"/>
        <i x="371" s="1"/>
        <i x="155" s="1"/>
        <i x="313" s="1"/>
        <i x="183" s="1"/>
        <i x="184" s="1"/>
        <i x="257" s="1"/>
        <i x="400" s="1"/>
        <i x="281" s="1"/>
        <i x="30" s="1"/>
        <i x="290" s="1"/>
        <i x="189" s="1"/>
        <i x="277" s="1"/>
        <i x="190" s="1"/>
        <i x="3" s="1"/>
        <i x="216" s="1"/>
        <i x="370" s="1"/>
        <i x="411" s="1"/>
        <i x="215" s="1"/>
        <i x="415" s="1"/>
        <i x="0" s="1"/>
        <i x="266" s="1"/>
        <i x="388" s="1"/>
        <i x="292" s="1"/>
        <i x="349" s="1"/>
        <i x="416" s="1"/>
        <i x="10" s="1"/>
        <i x="201" s="1"/>
        <i x="240" s="1"/>
        <i x="19" s="1"/>
        <i x="424" s="1"/>
        <i x="440" s="1"/>
        <i x="283" s="1"/>
        <i x="48" s="1"/>
        <i x="436" s="1"/>
        <i x="379" s="1"/>
        <i x="117" s="1"/>
        <i x="356" s="1"/>
        <i x="136" s="1"/>
        <i x="377" s="1"/>
        <i x="346" s="1"/>
        <i x="185" s="1"/>
        <i x="421" s="1"/>
        <i x="101" s="1"/>
        <i x="287" s="1"/>
        <i x="404" s="1"/>
        <i x="382" s="1"/>
        <i x="319" s="1"/>
        <i x="291" s="1"/>
        <i x="8" s="1"/>
        <i x="33" s="1"/>
        <i x="417" s="1"/>
        <i x="73" s="1"/>
        <i x="225" s="1"/>
        <i x="192" s="1"/>
        <i x="41" s="1"/>
        <i x="125" s="1"/>
        <i x="269" s="1"/>
        <i x="76" s="1"/>
        <i x="285" s="1"/>
        <i x="5" s="1"/>
        <i x="4" s="1"/>
        <i x="393" s="1"/>
        <i x="86" s="1"/>
        <i x="254" s="1"/>
        <i x="325" s="1"/>
        <i x="278" s="1"/>
        <i x="35" s="1"/>
        <i x="381" s="1"/>
        <i x="238" s="1"/>
        <i x="191" s="1"/>
        <i x="206" s="1"/>
        <i x="282" s="1"/>
        <i x="399" s="1"/>
        <i x="392" s="1"/>
        <i x="95" s="1"/>
        <i x="435" s="1"/>
        <i x="13" s="1"/>
        <i x="231" s="1"/>
        <i x="414" s="1"/>
        <i x="426" s="1"/>
        <i x="17" s="1"/>
        <i x="330" s="1"/>
        <i x="298" s="1"/>
        <i x="134" s="1"/>
        <i x="92" s="1"/>
        <i x="275" s="1"/>
        <i x="280" s="1"/>
        <i x="115" s="1"/>
        <i x="316" s="1"/>
        <i x="214" s="1"/>
        <i x="301" s="1"/>
        <i x="142" s="1"/>
        <i x="383" s="1"/>
        <i x="338" s="1"/>
        <i x="261" s="1"/>
        <i x="380" s="1"/>
        <i x="133" s="1"/>
        <i x="34" s="1"/>
        <i x="397" s="1"/>
        <i x="120" s="1"/>
        <i x="268" s="1"/>
        <i x="23" s="1"/>
        <i x="390" s="1"/>
        <i x="323" s="1"/>
        <i x="38" s="1"/>
        <i x="406" s="1"/>
        <i x="229" s="1"/>
        <i x="51" s="1"/>
        <i x="212" s="1"/>
        <i x="213" s="1"/>
        <i x="124" s="1"/>
        <i x="64" s="1"/>
        <i x="164" s="1"/>
        <i x="118" s="1"/>
        <i x="197" s="1"/>
        <i x="45" s="1"/>
        <i x="306" s="1"/>
        <i x="70" s="1"/>
        <i x="336" s="1"/>
        <i x="14" s="1"/>
        <i x="54" s="1"/>
        <i x="299" s="1"/>
        <i x="284" s="1"/>
        <i x="407" s="1"/>
        <i x="309" s="1"/>
        <i x="1" s="1"/>
        <i x="378" s="1"/>
        <i x="342" s="1"/>
        <i x="114" s="1"/>
        <i x="228" s="1"/>
        <i x="267" s="1"/>
        <i x="28" s="1"/>
        <i x="441" s="1"/>
        <i x="175" s="1"/>
        <i x="65" s="1"/>
        <i x="108" s="1"/>
        <i x="180" s="1"/>
        <i x="270" s="1"/>
        <i x="303" s="1"/>
        <i x="91" s="1"/>
        <i x="132" s="1"/>
        <i x="431" s="1"/>
        <i x="46" s="1"/>
        <i x="25" s="1"/>
        <i x="172" s="1"/>
        <i x="427" s="1"/>
        <i x="386" s="1"/>
        <i x="144" s="1"/>
        <i x="161" s="1"/>
        <i x="81" s="1"/>
        <i x="165" s="1"/>
        <i x="160" s="1"/>
        <i x="375" s="1"/>
        <i x="224" s="1"/>
        <i x="119" s="1"/>
        <i x="11" s="1"/>
        <i x="152" s="1"/>
        <i x="385" s="1"/>
        <i x="344" s="1"/>
        <i x="156" s="1"/>
        <i x="47" s="1"/>
        <i x="247" s="1"/>
        <i x="428" s="1"/>
        <i x="409" s="1"/>
        <i x="100" s="1"/>
        <i x="434" s="1"/>
        <i x="343" s="1"/>
        <i x="234" s="1"/>
        <i x="265" s="1"/>
        <i x="295" s="1"/>
        <i x="106" s="1"/>
        <i x="84" s="1"/>
        <i x="218" s="1"/>
        <i x="50" s="1"/>
        <i x="32" s="1"/>
        <i x="63" s="1"/>
        <i x="221" s="1"/>
        <i x="107" s="1"/>
        <i x="198" s="1"/>
        <i x="405" s="1"/>
        <i x="103" s="1"/>
        <i x="259" s="1"/>
        <i x="333" s="1"/>
        <i x="241" s="1"/>
        <i x="7" s="1"/>
        <i x="331" s="1"/>
        <i x="293" s="1"/>
        <i x="66" s="1"/>
        <i x="148" s="1"/>
        <i x="311" s="1"/>
        <i x="21" s="1"/>
        <i x="6" s="1"/>
        <i x="332" s="1"/>
        <i x="251" s="1"/>
        <i x="324" s="1"/>
        <i x="18" s="1"/>
        <i x="402" s="1"/>
        <i x="135" s="1"/>
        <i x="398" s="1"/>
        <i x="279" s="1"/>
        <i x="105" s="1"/>
        <i x="174" s="1"/>
        <i x="193" s="1"/>
        <i x="348" s="1"/>
        <i x="368" s="1"/>
        <i x="83" s="1"/>
        <i x="56" s="1"/>
        <i x="335" s="1"/>
        <i x="395" s="1"/>
        <i x="294" s="1"/>
        <i x="310" s="1"/>
        <i x="204" s="1"/>
        <i x="110" s="1"/>
        <i x="200" s="1"/>
        <i x="367" s="1"/>
        <i x="430" s="1"/>
        <i x="168" s="1"/>
        <i x="195" s="1"/>
        <i x="40" s="1"/>
        <i x="178" s="1"/>
        <i x="328" s="1"/>
        <i x="140" s="1"/>
        <i x="39" s="1"/>
        <i x="58" s="1"/>
        <i x="412" s="1"/>
        <i x="29" s="1"/>
        <i x="252" s="1"/>
        <i x="425" s="1"/>
        <i x="59" s="1"/>
        <i x="262" s="1"/>
        <i x="413" s="1"/>
        <i x="79" s="1"/>
        <i x="186" s="1"/>
        <i x="249" s="1"/>
        <i x="223" s="1"/>
        <i x="242" s="1"/>
        <i x="422" s="1"/>
        <i x="245" s="1"/>
        <i x="111" s="1"/>
        <i x="248" s="1"/>
        <i x="26" s="1"/>
        <i x="211" s="1"/>
        <i x="256" s="1"/>
        <i x="300" s="1"/>
        <i x="235" s="1"/>
        <i x="158" s="1"/>
        <i x="418" s="1"/>
        <i x="244" s="1"/>
        <i x="236" s="1"/>
        <i x="82" s="1"/>
        <i x="72" s="1"/>
        <i x="226" s="1"/>
        <i x="420" s="1"/>
        <i x="177" s="1"/>
        <i x="97" s="1"/>
        <i x="131" s="1"/>
        <i x="170" s="1"/>
        <i x="159" s="1"/>
        <i x="209" s="1"/>
        <i x="138" s="1"/>
        <i x="317" s="1"/>
        <i x="419" s="1"/>
        <i x="2" s="1"/>
        <i x="365" s="1"/>
        <i x="90" s="1"/>
        <i x="139" s="1"/>
        <i x="361" s="1"/>
        <i x="75" s="1"/>
        <i x="67" s="1"/>
        <i x="341" s="1"/>
        <i x="357" s="1"/>
        <i x="202" s="1"/>
        <i x="437" s="1"/>
        <i x="80" s="1"/>
        <i x="145" s="1"/>
        <i x="188" s="1"/>
        <i x="339" s="1"/>
        <i x="157" s="1"/>
        <i x="104" s="1"/>
        <i x="433" s="1"/>
        <i x="312" s="1"/>
        <i x="340" s="1"/>
        <i x="208" s="1"/>
        <i x="153" s="1"/>
        <i x="360" s="1"/>
        <i x="327" s="1"/>
        <i x="222" s="1"/>
        <i x="128" s="1"/>
        <i x="305" s="1"/>
        <i x="15" s="1"/>
        <i x="439" s="1"/>
        <i x="16" s="1"/>
        <i x="355" s="1"/>
        <i x="207" s="1"/>
        <i x="69" s="1"/>
        <i x="296" s="1"/>
        <i x="217" s="1"/>
        <i x="171" s="1"/>
        <i x="147" s="1"/>
        <i x="71" s="1"/>
        <i x="194" s="1"/>
        <i x="273" s="1"/>
        <i x="123" s="1"/>
        <i x="94" s="1"/>
        <i x="308" s="1"/>
        <i x="351" s="1"/>
        <i x="87" s="1"/>
        <i x="113" s="1"/>
        <i x="232" s="1"/>
        <i x="99" s="1"/>
        <i x="43" s="1"/>
        <i x="60" s="1"/>
        <i x="271" s="1"/>
        <i x="376" s="1"/>
        <i x="205" s="1"/>
        <i x="374" s="1"/>
        <i x="326" s="1"/>
        <i x="24" s="1"/>
        <i x="350" s="1"/>
        <i x="304" s="1"/>
        <i x="20" s="1"/>
        <i x="154" s="1"/>
        <i x="44" s="1"/>
        <i x="362" s="1"/>
        <i x="187" s="1"/>
        <i x="230" s="1"/>
        <i x="364" s="1"/>
        <i x="384" s="1"/>
        <i x="130" s="1"/>
        <i x="314" s="1"/>
        <i x="146" s="1"/>
        <i x="389" s="1"/>
        <i x="366" s="1"/>
        <i x="369" s="1"/>
        <i x="137" s="1"/>
        <i x="423" s="1"/>
        <i x="163" s="1"/>
        <i x="127" s="1"/>
        <i x="151" s="1"/>
        <i x="112" s="1"/>
        <i x="329" s="1"/>
        <i x="274" s="1"/>
        <i x="62" s="1"/>
        <i x="129" s="1"/>
        <i x="220" s="1"/>
        <i x="353" s="1"/>
        <i x="334" s="1"/>
        <i x="12" s="1"/>
        <i x="358" s="1"/>
        <i x="372" s="1"/>
        <i x="88" s="1"/>
        <i x="89" s="1"/>
        <i x="181" s="1"/>
        <i x="289" s="1"/>
        <i x="260" s="1"/>
        <i x="272" s="1"/>
        <i x="55" s="1"/>
        <i x="219" s="1"/>
        <i x="394" s="1"/>
        <i x="23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977ED0E-70FC-413C-9337-CF9EB3306E4F}" cache="Slicer_Year" caption="Year" style="SlicerStyleDark1" rowHeight="234950"/>
  <slicer name="City" xr10:uid="{3ABA684A-CBC6-4B2B-8611-A5BF63EAC2B0}" cache="Slicer_City" caption="City" style="SlicerStyleDark1" rowHeight="234950"/>
  <slicer name="State" xr10:uid="{3FC4C797-2D1D-4112-A2DC-68ED12931027}" cache="Slicer_State" caption="State" style="SlicerStyleDark1" rowHeight="234950"/>
  <slicer name="Category" xr10:uid="{87DEA4E2-3E77-4B71-A4F9-0E06FA528B77}" cache="Slicer_Category" caption="Category" style="SlicerStyleDark1" rowHeight="234950"/>
  <slicer name="Region" xr10:uid="{3FCCE854-EA3E-421A-BB0B-CA62A9596857}" cache="Slicer_Region" caption="Region" style="SlicerStyleDark1" rowHeight="234950"/>
  <slicer name="Ship Mode" xr10:uid="{95E28536-9004-456D-B115-C7EEB65C7209}" cache="Slicer_Ship_Mode" caption="Ship Mode" style="SlicerStyleDark1" rowHeight="234950"/>
  <slicer name="Product Name" xr10:uid="{16A2577F-B015-49E5-B808-9F7486AE55EA}" cache="Slicer_Product_Name" caption="Product Na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F05F4E-9BA8-49D0-9076-F48E6358E382}" name="orders" displayName="orders" ref="A1:W500" totalsRowShown="0" headerRowDxfId="50">
  <autoFilter ref="A1:W500" xr:uid="{CFF05F4E-9BA8-49D0-9076-F48E6358E382}"/>
  <tableColumns count="23">
    <tableColumn id="1" xr3:uid="{CDF4BBA2-52EB-4297-86E2-EB77E8F8435F}" name="Row ID"/>
    <tableColumn id="2" xr3:uid="{0FB5D471-5969-44CC-9E60-C67BDDC6FCD0}" name="Order ID"/>
    <tableColumn id="3" xr3:uid="{B72E65A7-0EE5-44BD-89E3-25C154A4276B}" name="Order Date" dataDxfId="49"/>
    <tableColumn id="22" xr3:uid="{D8D64AA3-DDD8-4208-869E-2D6F6F6734F6}" name="Month" dataDxfId="48">
      <calculatedColumnFormula>LEFT(orders[[#This Row],[Ship Date]],FIND("0",F2)-1)</calculatedColumnFormula>
    </tableColumn>
    <tableColumn id="21" xr3:uid="{3F44D8AD-A991-4E58-B77C-E1205EB4BF08}" name="Year" dataDxfId="47">
      <calculatedColumnFormula>RIGHT(orders[[#This Row],[Ship Date]],4)</calculatedColumnFormula>
    </tableColumn>
    <tableColumn id="4" xr3:uid="{A813408C-26EA-47BB-AD5C-9B9161969C03}" name="Ship Date" dataDxfId="46"/>
    <tableColumn id="5" xr3:uid="{11CB5C74-5075-4BC3-9382-2BCFCCB90C2B}" name="Ship Mode"/>
    <tableColumn id="6" xr3:uid="{B6280E4B-538D-464D-9AC1-4554B133A2E2}" name="Customer ID"/>
    <tableColumn id="7" xr3:uid="{B4124069-C2D0-4E37-A361-2455F7087923}" name="Customer Name"/>
    <tableColumn id="8" xr3:uid="{96AB9E53-8F05-4017-B545-9E231B8084F9}" name="Segment"/>
    <tableColumn id="9" xr3:uid="{0E3D72F2-6FF4-41DF-83FC-4F12621952F6}" name="Location" dataDxfId="45"/>
    <tableColumn id="26" xr3:uid="{F026CE4B-1A57-41F3-92D3-5DF7739C084F}" name="City" dataDxfId="44">
      <calculatedColumnFormula>_xlfn.TEXTAFTER(K2,",")</calculatedColumnFormula>
    </tableColumn>
    <tableColumn id="10" xr3:uid="{B22FEB31-38C8-4839-BB2B-E80E36F9AA73}" name="State"/>
    <tableColumn id="11" xr3:uid="{2E2AB9EE-A48A-4CEF-A526-9584C79D4D01}" name="Postal Code"/>
    <tableColumn id="12" xr3:uid="{07B9C39D-4F58-4E32-8222-3AA9EFA22005}" name="Region"/>
    <tableColumn id="13" xr3:uid="{7885F621-4627-45ED-BE89-7E4F78556D93}" name="Product ID"/>
    <tableColumn id="14" xr3:uid="{68640275-6924-4B3D-89C6-F415356AB773}" name="Category"/>
    <tableColumn id="15" xr3:uid="{13527C67-40EC-4787-BDC5-5DA0DD10259F}" name="Sub-Category"/>
    <tableColumn id="16" xr3:uid="{8B78D3A2-C65B-4CE0-96AC-1C2166051D46}" name="Product Name"/>
    <tableColumn id="17" xr3:uid="{3D8B03E3-AA73-4FA5-ADCF-44E0463E1971}" name="Sales"/>
    <tableColumn id="18" xr3:uid="{2FFFD6F5-F9CD-41D1-8693-C80B26B8B75B}" name="Quantity"/>
    <tableColumn id="19" xr3:uid="{52C61BA6-2BBE-4FAC-BC1F-2FE78D1FA5EA}" name="Discount"/>
    <tableColumn id="20" xr3:uid="{4166C420-8F13-4105-BFCA-E45791BB97CC}" name="Profi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8F92D-0C62-4326-AEB2-BEFE82D15F53}" name="return" displayName="return" ref="A1:B297" totalsRowShown="0">
  <autoFilter ref="A1:B297" xr:uid="{44E8F92D-0C62-4326-AEB2-BEFE82D15F53}"/>
  <tableColumns count="2">
    <tableColumn id="1" xr3:uid="{11CC9428-E658-45C6-9377-A51717340480}" name="Returned"/>
    <tableColumn id="2" xr3:uid="{D8E78B3F-0DE7-4A03-9E26-B91AD3E5D81A}" name="Ord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576A20-C988-4598-AF02-92FDEA174AE3}" name="persons" displayName="persons" ref="A1:B5" totalsRowShown="0">
  <autoFilter ref="A1:B5" xr:uid="{7C576A20-C988-4598-AF02-92FDEA174AE3}"/>
  <tableColumns count="2">
    <tableColumn id="1" xr3:uid="{9CD6453F-158A-4F97-9BA4-B501112F0910}" name="Person"/>
    <tableColumn id="2" xr3:uid="{7CE8D890-D078-4F68-8C92-9E7D5C8E3290}" name="Regio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82347-66A8-438A-A7D0-ED9563108F82}">
  <dimension ref="A1:W500"/>
  <sheetViews>
    <sheetView topLeftCell="N2" workbookViewId="0">
      <selection activeCell="L3" sqref="L3"/>
    </sheetView>
  </sheetViews>
  <sheetFormatPr defaultRowHeight="14.4" x14ac:dyDescent="0.3"/>
  <cols>
    <col min="1" max="1" width="9.6640625" customWidth="1"/>
    <col min="2" max="2" width="11" customWidth="1"/>
    <col min="3" max="3" width="13.44140625" customWidth="1"/>
    <col min="4" max="4" width="12" customWidth="1"/>
    <col min="5" max="5" width="40.88671875" customWidth="1"/>
    <col min="6" max="6" width="14.5546875" customWidth="1"/>
    <col min="7" max="7" width="18" customWidth="1"/>
    <col min="8" max="8" width="11.109375" customWidth="1"/>
    <col min="9" max="9" width="29.88671875" bestFit="1" customWidth="1"/>
    <col min="11" max="11" width="28.5546875" customWidth="1"/>
    <col min="12" max="12" width="9.5546875" customWidth="1"/>
    <col min="13" max="13" width="16.6640625" bestFit="1" customWidth="1"/>
    <col min="14" max="14" width="11.44140625" customWidth="1"/>
    <col min="15" max="15" width="15.44140625" customWidth="1"/>
    <col min="16" max="16" width="16.109375" customWidth="1"/>
    <col min="18" max="18" width="11.109375" customWidth="1"/>
    <col min="19" max="19" width="11.33203125" customWidth="1"/>
  </cols>
  <sheetData>
    <row r="1" spans="1:23" ht="15.6" x14ac:dyDescent="0.3">
      <c r="A1" s="1" t="s">
        <v>0</v>
      </c>
      <c r="B1" s="1" t="s">
        <v>1</v>
      </c>
      <c r="C1" s="1" t="s">
        <v>2</v>
      </c>
      <c r="D1" s="1" t="s">
        <v>2210</v>
      </c>
      <c r="E1" s="1" t="s">
        <v>2209</v>
      </c>
      <c r="F1" s="3" t="s">
        <v>3</v>
      </c>
      <c r="G1" s="1" t="s">
        <v>4</v>
      </c>
      <c r="H1" s="1" t="s">
        <v>5</v>
      </c>
      <c r="I1" s="1" t="s">
        <v>6</v>
      </c>
      <c r="J1" s="1" t="s">
        <v>7</v>
      </c>
      <c r="K1" s="3" t="s">
        <v>2001</v>
      </c>
      <c r="L1" s="3" t="s">
        <v>2215</v>
      </c>
      <c r="M1" s="1" t="s">
        <v>8</v>
      </c>
      <c r="N1" s="1" t="s">
        <v>9</v>
      </c>
      <c r="O1" s="1" t="s">
        <v>10</v>
      </c>
      <c r="P1" s="1" t="s">
        <v>11</v>
      </c>
      <c r="Q1" s="1" t="s">
        <v>12</v>
      </c>
      <c r="R1" s="1" t="s">
        <v>13</v>
      </c>
      <c r="S1" s="1" t="s">
        <v>14</v>
      </c>
      <c r="T1" s="1" t="s">
        <v>15</v>
      </c>
      <c r="U1" s="1" t="s">
        <v>16</v>
      </c>
      <c r="V1" s="1" t="s">
        <v>17</v>
      </c>
      <c r="W1" s="1" t="s">
        <v>18</v>
      </c>
    </row>
    <row r="2" spans="1:23" x14ac:dyDescent="0.3">
      <c r="A2">
        <v>1</v>
      </c>
      <c r="B2" t="s">
        <v>19</v>
      </c>
      <c r="C2" s="2">
        <v>42682</v>
      </c>
      <c r="D2" s="2" t="str">
        <f>LEFT(orders[[#This Row],[Ship Date]],FIND("0",F2)-1)</f>
        <v>11</v>
      </c>
      <c r="E2" s="2" t="str">
        <f>RIGHT(orders[[#This Row],[Ship Date]],4)</f>
        <v>2016</v>
      </c>
      <c r="F2" s="4" t="s">
        <v>2002</v>
      </c>
      <c r="G2" t="s">
        <v>20</v>
      </c>
      <c r="H2" t="s">
        <v>21</v>
      </c>
      <c r="I2" t="s">
        <v>22</v>
      </c>
      <c r="J2" t="s">
        <v>23</v>
      </c>
      <c r="K2" s="5" t="s">
        <v>1884</v>
      </c>
      <c r="L2" s="5" t="str">
        <f t="shared" ref="L2:L65" si="0">_xlfn.TEXTAFTER(K2,",")</f>
        <v>Henderson</v>
      </c>
      <c r="M2" t="s">
        <v>24</v>
      </c>
      <c r="N2">
        <v>42420</v>
      </c>
      <c r="O2" t="s">
        <v>25</v>
      </c>
      <c r="P2" t="s">
        <v>26</v>
      </c>
      <c r="Q2" t="s">
        <v>27</v>
      </c>
      <c r="R2" t="s">
        <v>28</v>
      </c>
      <c r="S2" t="s">
        <v>29</v>
      </c>
      <c r="T2">
        <v>261.95999999999998</v>
      </c>
      <c r="U2">
        <v>2</v>
      </c>
      <c r="V2">
        <v>0</v>
      </c>
      <c r="W2">
        <v>41.913600000000002</v>
      </c>
    </row>
    <row r="3" spans="1:23" x14ac:dyDescent="0.3">
      <c r="A3">
        <v>2</v>
      </c>
      <c r="B3" t="s">
        <v>19</v>
      </c>
      <c r="C3" s="2">
        <v>42682</v>
      </c>
      <c r="D3" s="2" t="str">
        <f>LEFT(orders[[#This Row],[Ship Date]],FIND("0",F3)-1)</f>
        <v>11</v>
      </c>
      <c r="E3" s="2" t="str">
        <f>RIGHT(orders[[#This Row],[Ship Date]],4)</f>
        <v>2016</v>
      </c>
      <c r="F3" s="4" t="s">
        <v>2002</v>
      </c>
      <c r="G3" t="s">
        <v>20</v>
      </c>
      <c r="H3" t="s">
        <v>21</v>
      </c>
      <c r="I3" t="s">
        <v>22</v>
      </c>
      <c r="J3" t="s">
        <v>23</v>
      </c>
      <c r="K3" s="5" t="s">
        <v>1884</v>
      </c>
      <c r="L3" s="5" t="str">
        <f t="shared" si="0"/>
        <v>Henderson</v>
      </c>
      <c r="M3" t="s">
        <v>24</v>
      </c>
      <c r="N3">
        <v>42420</v>
      </c>
      <c r="O3" t="s">
        <v>25</v>
      </c>
      <c r="P3" t="s">
        <v>30</v>
      </c>
      <c r="Q3" t="s">
        <v>27</v>
      </c>
      <c r="R3" t="s">
        <v>31</v>
      </c>
      <c r="S3" t="s">
        <v>32</v>
      </c>
      <c r="T3">
        <v>731.93999999999994</v>
      </c>
      <c r="U3">
        <v>3</v>
      </c>
      <c r="V3">
        <v>0</v>
      </c>
      <c r="W3">
        <v>219.58199999999997</v>
      </c>
    </row>
    <row r="4" spans="1:23" x14ac:dyDescent="0.3">
      <c r="A4">
        <v>3</v>
      </c>
      <c r="B4" t="s">
        <v>33</v>
      </c>
      <c r="C4" s="2">
        <v>42533</v>
      </c>
      <c r="D4" s="2" t="str">
        <f>LEFT(orders[[#This Row],[Ship Date]],FIND("0",F4)-1)</f>
        <v>6</v>
      </c>
      <c r="E4" s="2" t="str">
        <f>RIGHT(orders[[#This Row],[Ship Date]],4)</f>
        <v>2016</v>
      </c>
      <c r="F4" s="4" t="s">
        <v>2003</v>
      </c>
      <c r="G4" t="s">
        <v>20</v>
      </c>
      <c r="H4" t="s">
        <v>34</v>
      </c>
      <c r="I4" t="s">
        <v>35</v>
      </c>
      <c r="J4" t="s">
        <v>36</v>
      </c>
      <c r="K4" s="5" t="s">
        <v>1885</v>
      </c>
      <c r="L4" s="5" t="str">
        <f t="shared" si="0"/>
        <v>Los Angeles</v>
      </c>
      <c r="M4" t="s">
        <v>37</v>
      </c>
      <c r="N4">
        <v>90036</v>
      </c>
      <c r="O4" t="s">
        <v>38</v>
      </c>
      <c r="P4" t="s">
        <v>39</v>
      </c>
      <c r="Q4" t="s">
        <v>40</v>
      </c>
      <c r="R4" t="s">
        <v>41</v>
      </c>
      <c r="S4" t="s">
        <v>42</v>
      </c>
      <c r="T4">
        <v>14.62</v>
      </c>
      <c r="U4">
        <v>2</v>
      </c>
      <c r="V4">
        <v>0</v>
      </c>
      <c r="W4">
        <v>6.8713999999999995</v>
      </c>
    </row>
    <row r="5" spans="1:23" x14ac:dyDescent="0.3">
      <c r="A5">
        <v>4</v>
      </c>
      <c r="B5" t="s">
        <v>43</v>
      </c>
      <c r="C5" s="2">
        <v>42288</v>
      </c>
      <c r="D5" s="2" t="str">
        <f>LEFT(orders[[#This Row],[Ship Date]],FIND("0",F5)-1)</f>
        <v>1</v>
      </c>
      <c r="E5" s="2" t="str">
        <f>RIGHT(orders[[#This Row],[Ship Date]],4)</f>
        <v>2015</v>
      </c>
      <c r="F5" s="4" t="s">
        <v>2004</v>
      </c>
      <c r="G5" t="s">
        <v>44</v>
      </c>
      <c r="H5" t="s">
        <v>45</v>
      </c>
      <c r="I5" t="s">
        <v>46</v>
      </c>
      <c r="J5" t="s">
        <v>23</v>
      </c>
      <c r="K5" s="5" t="s">
        <v>1886</v>
      </c>
      <c r="L5" s="5" t="str">
        <f t="shared" si="0"/>
        <v>Fort Lauderdale</v>
      </c>
      <c r="M5" t="s">
        <v>47</v>
      </c>
      <c r="N5">
        <v>33311</v>
      </c>
      <c r="O5" t="s">
        <v>25</v>
      </c>
      <c r="P5" t="s">
        <v>48</v>
      </c>
      <c r="Q5" t="s">
        <v>27</v>
      </c>
      <c r="R5" t="s">
        <v>49</v>
      </c>
      <c r="S5" t="s">
        <v>50</v>
      </c>
      <c r="T5">
        <v>957.57749999999999</v>
      </c>
      <c r="U5">
        <v>5</v>
      </c>
      <c r="V5">
        <v>0.45</v>
      </c>
      <c r="W5">
        <v>-383.03100000000006</v>
      </c>
    </row>
    <row r="6" spans="1:23" x14ac:dyDescent="0.3">
      <c r="A6">
        <v>5</v>
      </c>
      <c r="B6" t="s">
        <v>43</v>
      </c>
      <c r="C6" s="2">
        <v>42288</v>
      </c>
      <c r="D6" s="2" t="str">
        <f>LEFT(orders[[#This Row],[Ship Date]],FIND("0",F6)-1)</f>
        <v>1</v>
      </c>
      <c r="E6" s="2" t="str">
        <f>RIGHT(orders[[#This Row],[Ship Date]],4)</f>
        <v>2015</v>
      </c>
      <c r="F6" s="4" t="s">
        <v>2004</v>
      </c>
      <c r="G6" t="s">
        <v>44</v>
      </c>
      <c r="H6" t="s">
        <v>45</v>
      </c>
      <c r="I6" t="s">
        <v>46</v>
      </c>
      <c r="J6" t="s">
        <v>23</v>
      </c>
      <c r="K6" s="5" t="s">
        <v>1886</v>
      </c>
      <c r="L6" s="5" t="str">
        <f t="shared" si="0"/>
        <v>Fort Lauderdale</v>
      </c>
      <c r="M6" t="s">
        <v>47</v>
      </c>
      <c r="N6">
        <v>33311</v>
      </c>
      <c r="O6" t="s">
        <v>25</v>
      </c>
      <c r="P6" t="s">
        <v>51</v>
      </c>
      <c r="Q6" t="s">
        <v>40</v>
      </c>
      <c r="R6" t="s">
        <v>52</v>
      </c>
      <c r="S6" t="s">
        <v>53</v>
      </c>
      <c r="T6">
        <v>22.368000000000002</v>
      </c>
      <c r="U6">
        <v>2</v>
      </c>
      <c r="V6">
        <v>0.2</v>
      </c>
      <c r="W6">
        <v>2.5163999999999991</v>
      </c>
    </row>
    <row r="7" spans="1:23" x14ac:dyDescent="0.3">
      <c r="A7">
        <v>6</v>
      </c>
      <c r="B7" t="s">
        <v>54</v>
      </c>
      <c r="C7" s="2">
        <v>41799</v>
      </c>
      <c r="D7" s="2" t="str">
        <f>LEFT(orders[[#This Row],[Ship Date]],FIND("0",F7)-1)</f>
        <v>6</v>
      </c>
      <c r="E7" s="2" t="str">
        <f>RIGHT(orders[[#This Row],[Ship Date]],4)</f>
        <v>2014</v>
      </c>
      <c r="F7" s="4" t="s">
        <v>2005</v>
      </c>
      <c r="G7" t="s">
        <v>44</v>
      </c>
      <c r="H7" t="s">
        <v>55</v>
      </c>
      <c r="I7" t="s">
        <v>56</v>
      </c>
      <c r="J7" t="s">
        <v>23</v>
      </c>
      <c r="K7" s="5" t="s">
        <v>1885</v>
      </c>
      <c r="L7" s="5" t="str">
        <f t="shared" si="0"/>
        <v>Los Angeles</v>
      </c>
      <c r="M7" t="s">
        <v>37</v>
      </c>
      <c r="N7">
        <v>90032</v>
      </c>
      <c r="O7" t="s">
        <v>38</v>
      </c>
      <c r="P7" t="s">
        <v>57</v>
      </c>
      <c r="Q7" t="s">
        <v>27</v>
      </c>
      <c r="R7" t="s">
        <v>58</v>
      </c>
      <c r="S7" t="s">
        <v>59</v>
      </c>
      <c r="T7">
        <v>48.86</v>
      </c>
      <c r="U7">
        <v>7</v>
      </c>
      <c r="V7">
        <v>0</v>
      </c>
      <c r="W7">
        <v>14.169399999999996</v>
      </c>
    </row>
    <row r="8" spans="1:23" x14ac:dyDescent="0.3">
      <c r="A8">
        <v>7</v>
      </c>
      <c r="B8" t="s">
        <v>54</v>
      </c>
      <c r="C8" s="2">
        <v>41799</v>
      </c>
      <c r="D8" s="2" t="str">
        <f>LEFT(orders[[#This Row],[Ship Date]],FIND("0",F8)-1)</f>
        <v>6</v>
      </c>
      <c r="E8" s="2" t="str">
        <f>RIGHT(orders[[#This Row],[Ship Date]],4)</f>
        <v>2014</v>
      </c>
      <c r="F8" s="4" t="s">
        <v>2005</v>
      </c>
      <c r="G8" t="s">
        <v>44</v>
      </c>
      <c r="H8" t="s">
        <v>55</v>
      </c>
      <c r="I8" t="s">
        <v>56</v>
      </c>
      <c r="J8" t="s">
        <v>23</v>
      </c>
      <c r="K8" s="5" t="s">
        <v>1885</v>
      </c>
      <c r="L8" s="5" t="str">
        <f t="shared" si="0"/>
        <v>Los Angeles</v>
      </c>
      <c r="M8" t="s">
        <v>37</v>
      </c>
      <c r="N8">
        <v>90032</v>
      </c>
      <c r="O8" t="s">
        <v>38</v>
      </c>
      <c r="P8" t="s">
        <v>60</v>
      </c>
      <c r="Q8" t="s">
        <v>40</v>
      </c>
      <c r="R8" t="s">
        <v>61</v>
      </c>
      <c r="S8" t="s">
        <v>62</v>
      </c>
      <c r="T8">
        <v>7.28</v>
      </c>
      <c r="U8">
        <v>4</v>
      </c>
      <c r="V8">
        <v>0</v>
      </c>
      <c r="W8">
        <v>1.9656000000000002</v>
      </c>
    </row>
    <row r="9" spans="1:23" x14ac:dyDescent="0.3">
      <c r="A9">
        <v>8</v>
      </c>
      <c r="B9" t="s">
        <v>54</v>
      </c>
      <c r="C9" s="2">
        <v>41799</v>
      </c>
      <c r="D9" s="2" t="str">
        <f>LEFT(orders[[#This Row],[Ship Date]],FIND("0",F9)-1)</f>
        <v>6</v>
      </c>
      <c r="E9" s="2" t="str">
        <f>RIGHT(orders[[#This Row],[Ship Date]],4)</f>
        <v>2014</v>
      </c>
      <c r="F9" s="4" t="s">
        <v>2005</v>
      </c>
      <c r="G9" t="s">
        <v>44</v>
      </c>
      <c r="H9" t="s">
        <v>55</v>
      </c>
      <c r="I9" t="s">
        <v>56</v>
      </c>
      <c r="J9" t="s">
        <v>23</v>
      </c>
      <c r="K9" s="5" t="s">
        <v>1885</v>
      </c>
      <c r="L9" s="5" t="str">
        <f t="shared" si="0"/>
        <v>Los Angeles</v>
      </c>
      <c r="M9" t="s">
        <v>37</v>
      </c>
      <c r="N9">
        <v>90032</v>
      </c>
      <c r="O9" t="s">
        <v>38</v>
      </c>
      <c r="P9" t="s">
        <v>63</v>
      </c>
      <c r="Q9" t="s">
        <v>64</v>
      </c>
      <c r="R9" t="s">
        <v>65</v>
      </c>
      <c r="S9" t="s">
        <v>66</v>
      </c>
      <c r="T9">
        <v>907.15200000000004</v>
      </c>
      <c r="U9">
        <v>6</v>
      </c>
      <c r="V9">
        <v>0.2</v>
      </c>
      <c r="W9">
        <v>90.715200000000038</v>
      </c>
    </row>
    <row r="10" spans="1:23" x14ac:dyDescent="0.3">
      <c r="A10">
        <v>9</v>
      </c>
      <c r="B10" t="s">
        <v>54</v>
      </c>
      <c r="C10" s="2">
        <v>41799</v>
      </c>
      <c r="D10" s="2" t="str">
        <f>LEFT(orders[[#This Row],[Ship Date]],FIND("0",F10)-1)</f>
        <v>6</v>
      </c>
      <c r="E10" s="2" t="str">
        <f>RIGHT(orders[[#This Row],[Ship Date]],4)</f>
        <v>2014</v>
      </c>
      <c r="F10" s="4" t="s">
        <v>2005</v>
      </c>
      <c r="G10" t="s">
        <v>44</v>
      </c>
      <c r="H10" t="s">
        <v>55</v>
      </c>
      <c r="I10" t="s">
        <v>56</v>
      </c>
      <c r="J10" t="s">
        <v>23</v>
      </c>
      <c r="K10" s="5" t="s">
        <v>1885</v>
      </c>
      <c r="L10" s="5" t="str">
        <f t="shared" si="0"/>
        <v>Los Angeles</v>
      </c>
      <c r="M10" t="s">
        <v>37</v>
      </c>
      <c r="N10">
        <v>90032</v>
      </c>
      <c r="O10" t="s">
        <v>38</v>
      </c>
      <c r="P10" t="s">
        <v>67</v>
      </c>
      <c r="Q10" t="s">
        <v>40</v>
      </c>
      <c r="R10" t="s">
        <v>68</v>
      </c>
      <c r="S10" t="s">
        <v>69</v>
      </c>
      <c r="T10">
        <v>18.504000000000001</v>
      </c>
      <c r="U10">
        <v>3</v>
      </c>
      <c r="V10">
        <v>0.2</v>
      </c>
      <c r="W10">
        <v>5.7824999999999998</v>
      </c>
    </row>
    <row r="11" spans="1:23" x14ac:dyDescent="0.3">
      <c r="A11">
        <v>10</v>
      </c>
      <c r="B11" t="s">
        <v>54</v>
      </c>
      <c r="C11" s="2">
        <v>41799</v>
      </c>
      <c r="D11" s="2" t="str">
        <f>LEFT(orders[[#This Row],[Ship Date]],FIND("0",F11)-1)</f>
        <v>6</v>
      </c>
      <c r="E11" s="2" t="str">
        <f>RIGHT(orders[[#This Row],[Ship Date]],4)</f>
        <v>2014</v>
      </c>
      <c r="F11" s="4" t="s">
        <v>2005</v>
      </c>
      <c r="G11" t="s">
        <v>44</v>
      </c>
      <c r="H11" t="s">
        <v>55</v>
      </c>
      <c r="I11" t="s">
        <v>56</v>
      </c>
      <c r="J11" t="s">
        <v>23</v>
      </c>
      <c r="K11" s="5" t="s">
        <v>1885</v>
      </c>
      <c r="L11" s="5" t="str">
        <f t="shared" si="0"/>
        <v>Los Angeles</v>
      </c>
      <c r="M11" t="s">
        <v>37</v>
      </c>
      <c r="N11">
        <v>90032</v>
      </c>
      <c r="O11" t="s">
        <v>38</v>
      </c>
      <c r="P11" t="s">
        <v>70</v>
      </c>
      <c r="Q11" t="s">
        <v>40</v>
      </c>
      <c r="R11" t="s">
        <v>71</v>
      </c>
      <c r="S11" t="s">
        <v>72</v>
      </c>
      <c r="T11">
        <v>114.9</v>
      </c>
      <c r="U11">
        <v>5</v>
      </c>
      <c r="V11">
        <v>0</v>
      </c>
      <c r="W11">
        <v>34.469999999999992</v>
      </c>
    </row>
    <row r="12" spans="1:23" x14ac:dyDescent="0.3">
      <c r="A12">
        <v>11</v>
      </c>
      <c r="B12" t="s">
        <v>54</v>
      </c>
      <c r="C12" s="2">
        <v>41799</v>
      </c>
      <c r="D12" s="2" t="str">
        <f>LEFT(orders[[#This Row],[Ship Date]],FIND("0",F12)-1)</f>
        <v>6</v>
      </c>
      <c r="E12" s="2" t="str">
        <f>RIGHT(orders[[#This Row],[Ship Date]],4)</f>
        <v>2014</v>
      </c>
      <c r="F12" s="4" t="s">
        <v>2005</v>
      </c>
      <c r="G12" t="s">
        <v>44</v>
      </c>
      <c r="H12" t="s">
        <v>55</v>
      </c>
      <c r="I12" t="s">
        <v>56</v>
      </c>
      <c r="J12" t="s">
        <v>23</v>
      </c>
      <c r="K12" s="5" t="s">
        <v>1885</v>
      </c>
      <c r="L12" s="5" t="str">
        <f t="shared" si="0"/>
        <v>Los Angeles</v>
      </c>
      <c r="M12" t="s">
        <v>37</v>
      </c>
      <c r="N12">
        <v>90032</v>
      </c>
      <c r="O12" t="s">
        <v>38</v>
      </c>
      <c r="P12" t="s">
        <v>73</v>
      </c>
      <c r="Q12" t="s">
        <v>27</v>
      </c>
      <c r="R12" t="s">
        <v>49</v>
      </c>
      <c r="S12" t="s">
        <v>74</v>
      </c>
      <c r="T12">
        <v>1706.1840000000002</v>
      </c>
      <c r="U12">
        <v>9</v>
      </c>
      <c r="V12">
        <v>0.2</v>
      </c>
      <c r="W12">
        <v>85.309199999999805</v>
      </c>
    </row>
    <row r="13" spans="1:23" x14ac:dyDescent="0.3">
      <c r="A13">
        <v>12</v>
      </c>
      <c r="B13" t="s">
        <v>54</v>
      </c>
      <c r="C13" s="2">
        <v>41799</v>
      </c>
      <c r="D13" s="2" t="str">
        <f>LEFT(orders[[#This Row],[Ship Date]],FIND("0",F13)-1)</f>
        <v>6</v>
      </c>
      <c r="E13" s="2" t="str">
        <f>RIGHT(orders[[#This Row],[Ship Date]],4)</f>
        <v>2014</v>
      </c>
      <c r="F13" s="4" t="s">
        <v>2005</v>
      </c>
      <c r="G13" t="s">
        <v>44</v>
      </c>
      <c r="H13" t="s">
        <v>55</v>
      </c>
      <c r="I13" t="s">
        <v>56</v>
      </c>
      <c r="J13" t="s">
        <v>23</v>
      </c>
      <c r="K13" s="5" t="s">
        <v>1885</v>
      </c>
      <c r="L13" s="5" t="str">
        <f t="shared" si="0"/>
        <v>Los Angeles</v>
      </c>
      <c r="M13" t="s">
        <v>37</v>
      </c>
      <c r="N13">
        <v>90032</v>
      </c>
      <c r="O13" t="s">
        <v>38</v>
      </c>
      <c r="P13" t="s">
        <v>75</v>
      </c>
      <c r="Q13" t="s">
        <v>64</v>
      </c>
      <c r="R13" t="s">
        <v>65</v>
      </c>
      <c r="S13" t="s">
        <v>76</v>
      </c>
      <c r="T13">
        <v>911.42399999999998</v>
      </c>
      <c r="U13">
        <v>4</v>
      </c>
      <c r="V13">
        <v>0.2</v>
      </c>
      <c r="W13">
        <v>68.356800000000021</v>
      </c>
    </row>
    <row r="14" spans="1:23" x14ac:dyDescent="0.3">
      <c r="A14">
        <v>13</v>
      </c>
      <c r="B14" t="s">
        <v>77</v>
      </c>
      <c r="C14" s="2">
        <v>42840</v>
      </c>
      <c r="D14" s="2" t="str">
        <f>LEFT(orders[[#This Row],[Ship Date]],FIND("0",F14)-1)</f>
        <v>4</v>
      </c>
      <c r="E14" s="2" t="str">
        <f>RIGHT(orders[[#This Row],[Ship Date]],4)</f>
        <v>2017</v>
      </c>
      <c r="F14" s="4" t="s">
        <v>2006</v>
      </c>
      <c r="G14" t="s">
        <v>44</v>
      </c>
      <c r="H14" t="s">
        <v>78</v>
      </c>
      <c r="I14" t="s">
        <v>79</v>
      </c>
      <c r="J14" t="s">
        <v>23</v>
      </c>
      <c r="K14" s="5" t="s">
        <v>1887</v>
      </c>
      <c r="L14" s="5" t="str">
        <f t="shared" si="0"/>
        <v>Concord</v>
      </c>
      <c r="M14" t="s">
        <v>80</v>
      </c>
      <c r="N14">
        <v>28027</v>
      </c>
      <c r="O14" t="s">
        <v>25</v>
      </c>
      <c r="P14" t="s">
        <v>81</v>
      </c>
      <c r="Q14" t="s">
        <v>40</v>
      </c>
      <c r="R14" t="s">
        <v>82</v>
      </c>
      <c r="S14" t="s">
        <v>83</v>
      </c>
      <c r="T14">
        <v>15.552000000000003</v>
      </c>
      <c r="U14">
        <v>3</v>
      </c>
      <c r="V14">
        <v>0.2</v>
      </c>
      <c r="W14">
        <v>5.4432</v>
      </c>
    </row>
    <row r="15" spans="1:23" x14ac:dyDescent="0.3">
      <c r="A15">
        <v>14</v>
      </c>
      <c r="B15" t="s">
        <v>84</v>
      </c>
      <c r="C15" s="2">
        <v>42709</v>
      </c>
      <c r="D15" s="2" t="str">
        <f>LEFT(orders[[#This Row],[Ship Date]],FIND("0",F15)-1)</f>
        <v>12</v>
      </c>
      <c r="E15" s="2" t="str">
        <f>RIGHT(orders[[#This Row],[Ship Date]],4)</f>
        <v>2016</v>
      </c>
      <c r="F15" s="4" t="s">
        <v>2007</v>
      </c>
      <c r="G15" t="s">
        <v>44</v>
      </c>
      <c r="H15" t="s">
        <v>85</v>
      </c>
      <c r="I15" t="s">
        <v>86</v>
      </c>
      <c r="J15" t="s">
        <v>23</v>
      </c>
      <c r="K15" s="5" t="s">
        <v>1888</v>
      </c>
      <c r="L15" s="5" t="str">
        <f t="shared" si="0"/>
        <v>Seattle</v>
      </c>
      <c r="M15" t="s">
        <v>87</v>
      </c>
      <c r="N15">
        <v>98103</v>
      </c>
      <c r="O15" t="s">
        <v>38</v>
      </c>
      <c r="P15" t="s">
        <v>88</v>
      </c>
      <c r="Q15" t="s">
        <v>40</v>
      </c>
      <c r="R15" t="s">
        <v>68</v>
      </c>
      <c r="S15" t="s">
        <v>89</v>
      </c>
      <c r="T15">
        <v>407.97600000000006</v>
      </c>
      <c r="U15">
        <v>3</v>
      </c>
      <c r="V15">
        <v>0.2</v>
      </c>
      <c r="W15">
        <v>132.59219999999993</v>
      </c>
    </row>
    <row r="16" spans="1:23" x14ac:dyDescent="0.3">
      <c r="A16">
        <v>15</v>
      </c>
      <c r="B16" t="s">
        <v>90</v>
      </c>
      <c r="C16" s="2">
        <v>42330</v>
      </c>
      <c r="D16" s="2" t="str">
        <f>LEFT(orders[[#This Row],[Ship Date]],FIND("0",F16)-1)</f>
        <v>11</v>
      </c>
      <c r="E16" s="2" t="str">
        <f>RIGHT(orders[[#This Row],[Ship Date]],4)</f>
        <v>2015</v>
      </c>
      <c r="F16" s="4" t="s">
        <v>2008</v>
      </c>
      <c r="G16" t="s">
        <v>44</v>
      </c>
      <c r="H16" t="s">
        <v>91</v>
      </c>
      <c r="I16" t="s">
        <v>92</v>
      </c>
      <c r="J16" t="s">
        <v>93</v>
      </c>
      <c r="K16" s="5" t="s">
        <v>1889</v>
      </c>
      <c r="L16" s="5" t="str">
        <f t="shared" si="0"/>
        <v>Fort Worth</v>
      </c>
      <c r="M16" t="s">
        <v>94</v>
      </c>
      <c r="N16">
        <v>76106</v>
      </c>
      <c r="O16" t="s">
        <v>95</v>
      </c>
      <c r="P16" t="s">
        <v>96</v>
      </c>
      <c r="Q16" t="s">
        <v>40</v>
      </c>
      <c r="R16" t="s">
        <v>71</v>
      </c>
      <c r="S16" t="s">
        <v>97</v>
      </c>
      <c r="T16">
        <v>68.809999999999988</v>
      </c>
      <c r="U16">
        <v>5</v>
      </c>
      <c r="V16">
        <v>0.8</v>
      </c>
      <c r="W16">
        <v>-123.858</v>
      </c>
    </row>
    <row r="17" spans="1:23" x14ac:dyDescent="0.3">
      <c r="A17">
        <v>16</v>
      </c>
      <c r="B17" t="s">
        <v>90</v>
      </c>
      <c r="C17" s="2">
        <v>42330</v>
      </c>
      <c r="D17" s="2" t="str">
        <f>LEFT(orders[[#This Row],[Ship Date]],FIND("0",F17)-1)</f>
        <v>11</v>
      </c>
      <c r="E17" s="2" t="str">
        <f>RIGHT(orders[[#This Row],[Ship Date]],4)</f>
        <v>2015</v>
      </c>
      <c r="F17" s="4" t="s">
        <v>2008</v>
      </c>
      <c r="G17" t="s">
        <v>44</v>
      </c>
      <c r="H17" t="s">
        <v>91</v>
      </c>
      <c r="I17" t="s">
        <v>92</v>
      </c>
      <c r="J17" t="s">
        <v>93</v>
      </c>
      <c r="K17" s="5" t="s">
        <v>1889</v>
      </c>
      <c r="L17" s="5" t="str">
        <f t="shared" si="0"/>
        <v>Fort Worth</v>
      </c>
      <c r="M17" t="s">
        <v>94</v>
      </c>
      <c r="N17">
        <v>76106</v>
      </c>
      <c r="O17" t="s">
        <v>95</v>
      </c>
      <c r="P17" t="s">
        <v>98</v>
      </c>
      <c r="Q17" t="s">
        <v>40</v>
      </c>
      <c r="R17" t="s">
        <v>68</v>
      </c>
      <c r="S17" t="s">
        <v>99</v>
      </c>
      <c r="T17">
        <v>2.5439999999999996</v>
      </c>
      <c r="U17">
        <v>3</v>
      </c>
      <c r="V17">
        <v>0.8</v>
      </c>
      <c r="W17">
        <v>-3.8160000000000016</v>
      </c>
    </row>
    <row r="18" spans="1:23" x14ac:dyDescent="0.3">
      <c r="A18">
        <v>17</v>
      </c>
      <c r="B18" t="s">
        <v>100</v>
      </c>
      <c r="C18" s="2">
        <v>41954</v>
      </c>
      <c r="D18" s="2" t="str">
        <f>LEFT(orders[[#This Row],[Ship Date]],FIND("0",F18)-1)</f>
        <v>11</v>
      </c>
      <c r="E18" s="2" t="str">
        <f>RIGHT(orders[[#This Row],[Ship Date]],4)</f>
        <v>2014</v>
      </c>
      <c r="F18" s="4" t="s">
        <v>2009</v>
      </c>
      <c r="G18" t="s">
        <v>44</v>
      </c>
      <c r="H18" t="s">
        <v>101</v>
      </c>
      <c r="I18" t="s">
        <v>102</v>
      </c>
      <c r="J18" t="s">
        <v>23</v>
      </c>
      <c r="K18" s="5" t="s">
        <v>1890</v>
      </c>
      <c r="L18" s="5" t="str">
        <f t="shared" si="0"/>
        <v>Madison</v>
      </c>
      <c r="M18" t="s">
        <v>103</v>
      </c>
      <c r="N18">
        <v>53711</v>
      </c>
      <c r="O18" t="s">
        <v>95</v>
      </c>
      <c r="P18" t="s">
        <v>104</v>
      </c>
      <c r="Q18" t="s">
        <v>40</v>
      </c>
      <c r="R18" t="s">
        <v>52</v>
      </c>
      <c r="S18" t="s">
        <v>105</v>
      </c>
      <c r="T18">
        <v>665.88</v>
      </c>
      <c r="U18">
        <v>6</v>
      </c>
      <c r="V18">
        <v>0</v>
      </c>
      <c r="W18">
        <v>13.317599999999999</v>
      </c>
    </row>
    <row r="19" spans="1:23" x14ac:dyDescent="0.3">
      <c r="A19">
        <v>18</v>
      </c>
      <c r="B19" t="s">
        <v>106</v>
      </c>
      <c r="C19" s="2">
        <v>41772</v>
      </c>
      <c r="D19" s="2" t="str">
        <f>LEFT(orders[[#This Row],[Ship Date]],FIND("0",F19)-1)</f>
        <v>5</v>
      </c>
      <c r="E19" s="2" t="str">
        <f>RIGHT(orders[[#This Row],[Ship Date]],4)</f>
        <v>2014</v>
      </c>
      <c r="F19" s="4" t="s">
        <v>2010</v>
      </c>
      <c r="G19" t="s">
        <v>20</v>
      </c>
      <c r="H19" t="s">
        <v>107</v>
      </c>
      <c r="I19" t="s">
        <v>108</v>
      </c>
      <c r="J19" t="s">
        <v>23</v>
      </c>
      <c r="K19" s="5" t="s">
        <v>1891</v>
      </c>
      <c r="L19" s="5" t="str">
        <f t="shared" si="0"/>
        <v>West Jordan</v>
      </c>
      <c r="M19" t="s">
        <v>109</v>
      </c>
      <c r="N19">
        <v>84084</v>
      </c>
      <c r="O19" t="s">
        <v>38</v>
      </c>
      <c r="P19" t="s">
        <v>110</v>
      </c>
      <c r="Q19" t="s">
        <v>40</v>
      </c>
      <c r="R19" t="s">
        <v>52</v>
      </c>
      <c r="S19" t="s">
        <v>111</v>
      </c>
      <c r="T19">
        <v>55.5</v>
      </c>
      <c r="U19">
        <v>2</v>
      </c>
      <c r="V19">
        <v>0</v>
      </c>
      <c r="W19">
        <v>9.9899999999999949</v>
      </c>
    </row>
    <row r="20" spans="1:23" x14ac:dyDescent="0.3">
      <c r="A20">
        <v>19</v>
      </c>
      <c r="B20" t="s">
        <v>112</v>
      </c>
      <c r="C20" s="2">
        <v>41878</v>
      </c>
      <c r="D20" s="2" t="str">
        <f>LEFT(orders[[#This Row],[Ship Date]],FIND("0",F20)-1)</f>
        <v>9</v>
      </c>
      <c r="E20" s="2" t="str">
        <f>RIGHT(orders[[#This Row],[Ship Date]],4)</f>
        <v>2014</v>
      </c>
      <c r="F20" s="4" t="s">
        <v>2011</v>
      </c>
      <c r="G20" t="s">
        <v>20</v>
      </c>
      <c r="H20" t="s">
        <v>113</v>
      </c>
      <c r="I20" t="s">
        <v>114</v>
      </c>
      <c r="J20" t="s">
        <v>23</v>
      </c>
      <c r="K20" s="5" t="s">
        <v>1892</v>
      </c>
      <c r="L20" s="5" t="str">
        <f t="shared" si="0"/>
        <v>San Francisco</v>
      </c>
      <c r="M20" t="s">
        <v>37</v>
      </c>
      <c r="N20">
        <v>94109</v>
      </c>
      <c r="O20" t="s">
        <v>38</v>
      </c>
      <c r="P20" t="s">
        <v>115</v>
      </c>
      <c r="Q20" t="s">
        <v>40</v>
      </c>
      <c r="R20" t="s">
        <v>61</v>
      </c>
      <c r="S20" t="s">
        <v>116</v>
      </c>
      <c r="T20">
        <v>8.56</v>
      </c>
      <c r="U20">
        <v>2</v>
      </c>
      <c r="V20">
        <v>0</v>
      </c>
      <c r="W20">
        <v>2.4823999999999993</v>
      </c>
    </row>
    <row r="21" spans="1:23" x14ac:dyDescent="0.3">
      <c r="A21">
        <v>20</v>
      </c>
      <c r="B21" t="s">
        <v>112</v>
      </c>
      <c r="C21" s="2">
        <v>41878</v>
      </c>
      <c r="D21" s="2" t="str">
        <f>LEFT(orders[[#This Row],[Ship Date]],FIND("0",F21)-1)</f>
        <v>9</v>
      </c>
      <c r="E21" s="2" t="str">
        <f>RIGHT(orders[[#This Row],[Ship Date]],4)</f>
        <v>2014</v>
      </c>
      <c r="F21" s="4" t="s">
        <v>2011</v>
      </c>
      <c r="G21" t="s">
        <v>20</v>
      </c>
      <c r="H21" t="s">
        <v>113</v>
      </c>
      <c r="I21" t="s">
        <v>114</v>
      </c>
      <c r="J21" t="s">
        <v>23</v>
      </c>
      <c r="K21" s="5" t="s">
        <v>1892</v>
      </c>
      <c r="L21" s="5" t="str">
        <f t="shared" si="0"/>
        <v>San Francisco</v>
      </c>
      <c r="M21" t="s">
        <v>37</v>
      </c>
      <c r="N21">
        <v>94109</v>
      </c>
      <c r="O21" t="s">
        <v>38</v>
      </c>
      <c r="P21" t="s">
        <v>117</v>
      </c>
      <c r="Q21" t="s">
        <v>64</v>
      </c>
      <c r="R21" t="s">
        <v>65</v>
      </c>
      <c r="S21" t="s">
        <v>118</v>
      </c>
      <c r="T21">
        <v>213.48000000000002</v>
      </c>
      <c r="U21">
        <v>3</v>
      </c>
      <c r="V21">
        <v>0.2</v>
      </c>
      <c r="W21">
        <v>16.010999999999981</v>
      </c>
    </row>
    <row r="22" spans="1:23" x14ac:dyDescent="0.3">
      <c r="A22">
        <v>21</v>
      </c>
      <c r="B22" t="s">
        <v>112</v>
      </c>
      <c r="C22" s="2">
        <v>41878</v>
      </c>
      <c r="D22" s="2" t="str">
        <f>LEFT(orders[[#This Row],[Ship Date]],FIND("0",F22)-1)</f>
        <v>9</v>
      </c>
      <c r="E22" s="2" t="str">
        <f>RIGHT(orders[[#This Row],[Ship Date]],4)</f>
        <v>2014</v>
      </c>
      <c r="F22" s="4" t="s">
        <v>2011</v>
      </c>
      <c r="G22" t="s">
        <v>20</v>
      </c>
      <c r="H22" t="s">
        <v>113</v>
      </c>
      <c r="I22" t="s">
        <v>114</v>
      </c>
      <c r="J22" t="s">
        <v>23</v>
      </c>
      <c r="K22" s="5" t="s">
        <v>1892</v>
      </c>
      <c r="L22" s="5" t="str">
        <f t="shared" si="0"/>
        <v>San Francisco</v>
      </c>
      <c r="M22" t="s">
        <v>37</v>
      </c>
      <c r="N22">
        <v>94109</v>
      </c>
      <c r="O22" t="s">
        <v>38</v>
      </c>
      <c r="P22" t="s">
        <v>119</v>
      </c>
      <c r="Q22" t="s">
        <v>40</v>
      </c>
      <c r="R22" t="s">
        <v>68</v>
      </c>
      <c r="S22" t="s">
        <v>120</v>
      </c>
      <c r="T22">
        <v>22.72</v>
      </c>
      <c r="U22">
        <v>4</v>
      </c>
      <c r="V22">
        <v>0.2</v>
      </c>
      <c r="W22">
        <v>7.3839999999999986</v>
      </c>
    </row>
    <row r="23" spans="1:23" x14ac:dyDescent="0.3">
      <c r="A23">
        <v>22</v>
      </c>
      <c r="B23" t="s">
        <v>121</v>
      </c>
      <c r="C23" s="2">
        <v>42713</v>
      </c>
      <c r="D23" s="2" t="str">
        <f>LEFT(orders[[#This Row],[Ship Date]],FIND("0",F23)-1)</f>
        <v>12</v>
      </c>
      <c r="E23" s="2" t="str">
        <f>RIGHT(orders[[#This Row],[Ship Date]],4)</f>
        <v>2016</v>
      </c>
      <c r="F23" s="4" t="s">
        <v>2012</v>
      </c>
      <c r="G23" t="s">
        <v>44</v>
      </c>
      <c r="H23" t="s">
        <v>122</v>
      </c>
      <c r="I23" t="s">
        <v>123</v>
      </c>
      <c r="J23" t="s">
        <v>36</v>
      </c>
      <c r="K23" s="5" t="s">
        <v>1893</v>
      </c>
      <c r="L23" s="5" t="str">
        <f t="shared" si="0"/>
        <v>Fremont</v>
      </c>
      <c r="M23" t="s">
        <v>124</v>
      </c>
      <c r="N23">
        <v>68025</v>
      </c>
      <c r="O23" t="s">
        <v>95</v>
      </c>
      <c r="P23" t="s">
        <v>125</v>
      </c>
      <c r="Q23" t="s">
        <v>40</v>
      </c>
      <c r="R23" t="s">
        <v>61</v>
      </c>
      <c r="S23" t="s">
        <v>126</v>
      </c>
      <c r="T23">
        <v>19.459999999999997</v>
      </c>
      <c r="U23">
        <v>7</v>
      </c>
      <c r="V23">
        <v>0</v>
      </c>
      <c r="W23">
        <v>5.0595999999999997</v>
      </c>
    </row>
    <row r="24" spans="1:23" x14ac:dyDescent="0.3">
      <c r="A24">
        <v>23</v>
      </c>
      <c r="B24" t="s">
        <v>121</v>
      </c>
      <c r="C24" s="2">
        <v>42713</v>
      </c>
      <c r="D24" s="2" t="str">
        <f>LEFT(orders[[#This Row],[Ship Date]],FIND("0",F24)-1)</f>
        <v>12</v>
      </c>
      <c r="E24" s="2" t="str">
        <f>RIGHT(orders[[#This Row],[Ship Date]],4)</f>
        <v>2016</v>
      </c>
      <c r="F24" s="4" t="s">
        <v>2012</v>
      </c>
      <c r="G24" t="s">
        <v>44</v>
      </c>
      <c r="H24" t="s">
        <v>122</v>
      </c>
      <c r="I24" t="s">
        <v>123</v>
      </c>
      <c r="J24" t="s">
        <v>36</v>
      </c>
      <c r="K24" s="5" t="s">
        <v>1893</v>
      </c>
      <c r="L24" s="5" t="str">
        <f t="shared" si="0"/>
        <v>Fremont</v>
      </c>
      <c r="M24" t="s">
        <v>124</v>
      </c>
      <c r="N24">
        <v>68025</v>
      </c>
      <c r="O24" t="s">
        <v>95</v>
      </c>
      <c r="P24" t="s">
        <v>127</v>
      </c>
      <c r="Q24" t="s">
        <v>40</v>
      </c>
      <c r="R24" t="s">
        <v>71</v>
      </c>
      <c r="S24" t="s">
        <v>128</v>
      </c>
      <c r="T24">
        <v>60.339999999999996</v>
      </c>
      <c r="U24">
        <v>7</v>
      </c>
      <c r="V24">
        <v>0</v>
      </c>
      <c r="W24">
        <v>15.688400000000001</v>
      </c>
    </row>
    <row r="25" spans="1:23" x14ac:dyDescent="0.3">
      <c r="A25">
        <v>24</v>
      </c>
      <c r="B25" t="s">
        <v>129</v>
      </c>
      <c r="C25" s="2">
        <v>42932</v>
      </c>
      <c r="D25" s="2" t="str">
        <f>LEFT(orders[[#This Row],[Ship Date]],FIND("0",F25)-1)</f>
        <v>7</v>
      </c>
      <c r="E25" s="2" t="str">
        <f>RIGHT(orders[[#This Row],[Ship Date]],4)</f>
        <v>2017</v>
      </c>
      <c r="F25" s="4" t="s">
        <v>2013</v>
      </c>
      <c r="G25" t="s">
        <v>20</v>
      </c>
      <c r="H25" t="s">
        <v>130</v>
      </c>
      <c r="I25" t="s">
        <v>131</v>
      </c>
      <c r="J25" t="s">
        <v>23</v>
      </c>
      <c r="K25" s="5" t="s">
        <v>1894</v>
      </c>
      <c r="L25" s="5" t="str">
        <f t="shared" si="0"/>
        <v>Philadelphia</v>
      </c>
      <c r="M25" t="s">
        <v>132</v>
      </c>
      <c r="N25">
        <v>19140</v>
      </c>
      <c r="O25" t="s">
        <v>133</v>
      </c>
      <c r="P25" t="s">
        <v>134</v>
      </c>
      <c r="Q25" t="s">
        <v>27</v>
      </c>
      <c r="R25" t="s">
        <v>31</v>
      </c>
      <c r="S25" t="s">
        <v>135</v>
      </c>
      <c r="T25">
        <v>71.371999999999986</v>
      </c>
      <c r="U25">
        <v>2</v>
      </c>
      <c r="V25">
        <v>0.3</v>
      </c>
      <c r="W25">
        <v>-1.0196000000000005</v>
      </c>
    </row>
    <row r="26" spans="1:23" x14ac:dyDescent="0.3">
      <c r="A26">
        <v>25</v>
      </c>
      <c r="B26" t="s">
        <v>136</v>
      </c>
      <c r="C26" s="2">
        <v>42272</v>
      </c>
      <c r="D26" s="2" t="str">
        <f>LEFT(orders[[#This Row],[Ship Date]],FIND("0",F26)-1)</f>
        <v>9</v>
      </c>
      <c r="E26" s="2" t="str">
        <f>RIGHT(orders[[#This Row],[Ship Date]],4)</f>
        <v>2015</v>
      </c>
      <c r="F26" s="4" t="s">
        <v>2014</v>
      </c>
      <c r="G26" t="s">
        <v>44</v>
      </c>
      <c r="H26" t="s">
        <v>137</v>
      </c>
      <c r="I26" t="s">
        <v>138</v>
      </c>
      <c r="J26" t="s">
        <v>23</v>
      </c>
      <c r="K26" s="5" t="s">
        <v>1895</v>
      </c>
      <c r="L26" s="5" t="str">
        <f t="shared" si="0"/>
        <v>Orem</v>
      </c>
      <c r="M26" t="s">
        <v>109</v>
      </c>
      <c r="N26">
        <v>84057</v>
      </c>
      <c r="O26" t="s">
        <v>38</v>
      </c>
      <c r="P26" t="s">
        <v>48</v>
      </c>
      <c r="Q26" t="s">
        <v>27</v>
      </c>
      <c r="R26" t="s">
        <v>49</v>
      </c>
      <c r="S26" t="s">
        <v>50</v>
      </c>
      <c r="T26">
        <v>1044.6299999999999</v>
      </c>
      <c r="U26">
        <v>3</v>
      </c>
      <c r="V26">
        <v>0</v>
      </c>
      <c r="W26">
        <v>240.26490000000001</v>
      </c>
    </row>
    <row r="27" spans="1:23" x14ac:dyDescent="0.3">
      <c r="A27">
        <v>26</v>
      </c>
      <c r="B27" t="s">
        <v>139</v>
      </c>
      <c r="C27" s="2">
        <v>42385</v>
      </c>
      <c r="D27" s="2" t="str">
        <f>LEFT(orders[[#This Row],[Ship Date]],FIND("0",F27)-1)</f>
        <v>1</v>
      </c>
      <c r="E27" s="2" t="str">
        <f>RIGHT(orders[[#This Row],[Ship Date]],4)</f>
        <v>2016</v>
      </c>
      <c r="F27" s="4" t="s">
        <v>2015</v>
      </c>
      <c r="G27" t="s">
        <v>20</v>
      </c>
      <c r="H27" t="s">
        <v>140</v>
      </c>
      <c r="I27" t="s">
        <v>141</v>
      </c>
      <c r="J27" t="s">
        <v>23</v>
      </c>
      <c r="K27" s="5" t="s">
        <v>1885</v>
      </c>
      <c r="L27" s="5" t="str">
        <f t="shared" si="0"/>
        <v>Los Angeles</v>
      </c>
      <c r="M27" t="s">
        <v>37</v>
      </c>
      <c r="N27">
        <v>90049</v>
      </c>
      <c r="O27" t="s">
        <v>38</v>
      </c>
      <c r="P27" t="s">
        <v>142</v>
      </c>
      <c r="Q27" t="s">
        <v>40</v>
      </c>
      <c r="R27" t="s">
        <v>68</v>
      </c>
      <c r="S27" t="s">
        <v>143</v>
      </c>
      <c r="T27">
        <v>11.648000000000001</v>
      </c>
      <c r="U27">
        <v>2</v>
      </c>
      <c r="V27">
        <v>0.2</v>
      </c>
      <c r="W27">
        <v>4.2224000000000004</v>
      </c>
    </row>
    <row r="28" spans="1:23" x14ac:dyDescent="0.3">
      <c r="A28">
        <v>27</v>
      </c>
      <c r="B28" t="s">
        <v>139</v>
      </c>
      <c r="C28" s="2">
        <v>42385</v>
      </c>
      <c r="D28" s="2" t="str">
        <f>LEFT(orders[[#This Row],[Ship Date]],FIND("0",F28)-1)</f>
        <v>1</v>
      </c>
      <c r="E28" s="2" t="str">
        <f>RIGHT(orders[[#This Row],[Ship Date]],4)</f>
        <v>2016</v>
      </c>
      <c r="F28" s="4" t="s">
        <v>2015</v>
      </c>
      <c r="G28" t="s">
        <v>20</v>
      </c>
      <c r="H28" t="s">
        <v>140</v>
      </c>
      <c r="I28" t="s">
        <v>141</v>
      </c>
      <c r="J28" t="s">
        <v>23</v>
      </c>
      <c r="K28" s="5" t="s">
        <v>1885</v>
      </c>
      <c r="L28" s="5" t="str">
        <f t="shared" si="0"/>
        <v>Los Angeles</v>
      </c>
      <c r="M28" t="s">
        <v>37</v>
      </c>
      <c r="N28">
        <v>90049</v>
      </c>
      <c r="O28" t="s">
        <v>38</v>
      </c>
      <c r="P28" t="s">
        <v>144</v>
      </c>
      <c r="Q28" t="s">
        <v>64</v>
      </c>
      <c r="R28" t="s">
        <v>145</v>
      </c>
      <c r="S28" t="s">
        <v>146</v>
      </c>
      <c r="T28">
        <v>90.570000000000007</v>
      </c>
      <c r="U28">
        <v>3</v>
      </c>
      <c r="V28">
        <v>0</v>
      </c>
      <c r="W28">
        <v>11.774100000000004</v>
      </c>
    </row>
    <row r="29" spans="1:23" x14ac:dyDescent="0.3">
      <c r="A29">
        <v>28</v>
      </c>
      <c r="B29" t="s">
        <v>147</v>
      </c>
      <c r="C29" s="2">
        <v>42264</v>
      </c>
      <c r="D29" s="2" t="str">
        <f>LEFT(orders[[#This Row],[Ship Date]],FIND("0",F29)-1)</f>
        <v>9</v>
      </c>
      <c r="E29" s="2" t="str">
        <f>RIGHT(orders[[#This Row],[Ship Date]],4)</f>
        <v>2015</v>
      </c>
      <c r="F29" s="4" t="s">
        <v>2016</v>
      </c>
      <c r="G29" t="s">
        <v>44</v>
      </c>
      <c r="H29" t="s">
        <v>148</v>
      </c>
      <c r="I29" t="s">
        <v>149</v>
      </c>
      <c r="J29" t="s">
        <v>23</v>
      </c>
      <c r="K29" s="5" t="s">
        <v>1894</v>
      </c>
      <c r="L29" s="5" t="str">
        <f t="shared" si="0"/>
        <v>Philadelphia</v>
      </c>
      <c r="M29" t="s">
        <v>132</v>
      </c>
      <c r="N29">
        <v>19140</v>
      </c>
      <c r="O29" t="s">
        <v>133</v>
      </c>
      <c r="P29" t="s">
        <v>150</v>
      </c>
      <c r="Q29" t="s">
        <v>27</v>
      </c>
      <c r="R29" t="s">
        <v>28</v>
      </c>
      <c r="S29" t="s">
        <v>151</v>
      </c>
      <c r="T29">
        <v>3083.4300000000003</v>
      </c>
      <c r="U29">
        <v>7</v>
      </c>
      <c r="V29">
        <v>0.5</v>
      </c>
      <c r="W29">
        <v>-1665.0522000000001</v>
      </c>
    </row>
    <row r="30" spans="1:23" x14ac:dyDescent="0.3">
      <c r="A30">
        <v>29</v>
      </c>
      <c r="B30" t="s">
        <v>147</v>
      </c>
      <c r="C30" s="2">
        <v>42264</v>
      </c>
      <c r="D30" s="2" t="str">
        <f>LEFT(orders[[#This Row],[Ship Date]],FIND("0",F30)-1)</f>
        <v>9</v>
      </c>
      <c r="E30" s="2" t="str">
        <f>RIGHT(orders[[#This Row],[Ship Date]],4)</f>
        <v>2015</v>
      </c>
      <c r="F30" s="4" t="s">
        <v>2016</v>
      </c>
      <c r="G30" t="s">
        <v>44</v>
      </c>
      <c r="H30" t="s">
        <v>148</v>
      </c>
      <c r="I30" t="s">
        <v>149</v>
      </c>
      <c r="J30" t="s">
        <v>23</v>
      </c>
      <c r="K30" s="5" t="s">
        <v>1894</v>
      </c>
      <c r="L30" s="5" t="str">
        <f t="shared" si="0"/>
        <v>Philadelphia</v>
      </c>
      <c r="M30" t="s">
        <v>132</v>
      </c>
      <c r="N30">
        <v>19140</v>
      </c>
      <c r="O30" t="s">
        <v>133</v>
      </c>
      <c r="P30" t="s">
        <v>152</v>
      </c>
      <c r="Q30" t="s">
        <v>40</v>
      </c>
      <c r="R30" t="s">
        <v>68</v>
      </c>
      <c r="S30" t="s">
        <v>153</v>
      </c>
      <c r="T30">
        <v>9.6180000000000021</v>
      </c>
      <c r="U30">
        <v>2</v>
      </c>
      <c r="V30">
        <v>0.7</v>
      </c>
      <c r="W30">
        <v>-7.0532000000000004</v>
      </c>
    </row>
    <row r="31" spans="1:23" x14ac:dyDescent="0.3">
      <c r="A31">
        <v>30</v>
      </c>
      <c r="B31" t="s">
        <v>147</v>
      </c>
      <c r="C31" s="2">
        <v>42264</v>
      </c>
      <c r="D31" s="2" t="str">
        <f>LEFT(orders[[#This Row],[Ship Date]],FIND("0",F31)-1)</f>
        <v>9</v>
      </c>
      <c r="E31" s="2" t="str">
        <f>RIGHT(orders[[#This Row],[Ship Date]],4)</f>
        <v>2015</v>
      </c>
      <c r="F31" s="4" t="s">
        <v>2016</v>
      </c>
      <c r="G31" t="s">
        <v>44</v>
      </c>
      <c r="H31" t="s">
        <v>148</v>
      </c>
      <c r="I31" t="s">
        <v>149</v>
      </c>
      <c r="J31" t="s">
        <v>23</v>
      </c>
      <c r="K31" s="5" t="s">
        <v>1894</v>
      </c>
      <c r="L31" s="5" t="str">
        <f t="shared" si="0"/>
        <v>Philadelphia</v>
      </c>
      <c r="M31" t="s">
        <v>132</v>
      </c>
      <c r="N31">
        <v>19140</v>
      </c>
      <c r="O31" t="s">
        <v>133</v>
      </c>
      <c r="P31" t="s">
        <v>154</v>
      </c>
      <c r="Q31" t="s">
        <v>27</v>
      </c>
      <c r="R31" t="s">
        <v>58</v>
      </c>
      <c r="S31" t="s">
        <v>155</v>
      </c>
      <c r="T31">
        <v>124.20000000000002</v>
      </c>
      <c r="U31">
        <v>3</v>
      </c>
      <c r="V31">
        <v>0.2</v>
      </c>
      <c r="W31">
        <v>15.524999999999991</v>
      </c>
    </row>
    <row r="32" spans="1:23" x14ac:dyDescent="0.3">
      <c r="A32">
        <v>31</v>
      </c>
      <c r="B32" t="s">
        <v>147</v>
      </c>
      <c r="C32" s="2">
        <v>42264</v>
      </c>
      <c r="D32" s="2" t="str">
        <f>LEFT(orders[[#This Row],[Ship Date]],FIND("0",F32)-1)</f>
        <v>9</v>
      </c>
      <c r="E32" s="2" t="str">
        <f>RIGHT(orders[[#This Row],[Ship Date]],4)</f>
        <v>2015</v>
      </c>
      <c r="F32" s="4" t="s">
        <v>2016</v>
      </c>
      <c r="G32" t="s">
        <v>44</v>
      </c>
      <c r="H32" t="s">
        <v>148</v>
      </c>
      <c r="I32" t="s">
        <v>149</v>
      </c>
      <c r="J32" t="s">
        <v>23</v>
      </c>
      <c r="K32" s="5" t="s">
        <v>1894</v>
      </c>
      <c r="L32" s="5" t="str">
        <f t="shared" si="0"/>
        <v>Philadelphia</v>
      </c>
      <c r="M32" t="s">
        <v>132</v>
      </c>
      <c r="N32">
        <v>19140</v>
      </c>
      <c r="O32" t="s">
        <v>133</v>
      </c>
      <c r="P32" t="s">
        <v>156</v>
      </c>
      <c r="Q32" t="s">
        <v>40</v>
      </c>
      <c r="R32" t="s">
        <v>157</v>
      </c>
      <c r="S32" t="s">
        <v>158</v>
      </c>
      <c r="T32">
        <v>3.2640000000000002</v>
      </c>
      <c r="U32">
        <v>2</v>
      </c>
      <c r="V32">
        <v>0.2</v>
      </c>
      <c r="W32">
        <v>1.1015999999999997</v>
      </c>
    </row>
    <row r="33" spans="1:23" x14ac:dyDescent="0.3">
      <c r="A33">
        <v>32</v>
      </c>
      <c r="B33" t="s">
        <v>147</v>
      </c>
      <c r="C33" s="2">
        <v>42264</v>
      </c>
      <c r="D33" s="2" t="str">
        <f>LEFT(orders[[#This Row],[Ship Date]],FIND("0",F33)-1)</f>
        <v>9</v>
      </c>
      <c r="E33" s="2" t="str">
        <f>RIGHT(orders[[#This Row],[Ship Date]],4)</f>
        <v>2015</v>
      </c>
      <c r="F33" s="4" t="s">
        <v>2016</v>
      </c>
      <c r="G33" t="s">
        <v>44</v>
      </c>
      <c r="H33" t="s">
        <v>148</v>
      </c>
      <c r="I33" t="s">
        <v>149</v>
      </c>
      <c r="J33" t="s">
        <v>23</v>
      </c>
      <c r="K33" s="5" t="s">
        <v>1894</v>
      </c>
      <c r="L33" s="5" t="str">
        <f t="shared" si="0"/>
        <v>Philadelphia</v>
      </c>
      <c r="M33" t="s">
        <v>132</v>
      </c>
      <c r="N33">
        <v>19140</v>
      </c>
      <c r="O33" t="s">
        <v>133</v>
      </c>
      <c r="P33" t="s">
        <v>159</v>
      </c>
      <c r="Q33" t="s">
        <v>40</v>
      </c>
      <c r="R33" t="s">
        <v>61</v>
      </c>
      <c r="S33" t="s">
        <v>160</v>
      </c>
      <c r="T33">
        <v>86.304000000000002</v>
      </c>
      <c r="U33">
        <v>6</v>
      </c>
      <c r="V33">
        <v>0.2</v>
      </c>
      <c r="W33">
        <v>9.7091999999999885</v>
      </c>
    </row>
    <row r="34" spans="1:23" x14ac:dyDescent="0.3">
      <c r="A34">
        <v>33</v>
      </c>
      <c r="B34" t="s">
        <v>147</v>
      </c>
      <c r="C34" s="2">
        <v>42264</v>
      </c>
      <c r="D34" s="2" t="str">
        <f>LEFT(orders[[#This Row],[Ship Date]],FIND("0",F34)-1)</f>
        <v>9</v>
      </c>
      <c r="E34" s="2" t="str">
        <f>RIGHT(orders[[#This Row],[Ship Date]],4)</f>
        <v>2015</v>
      </c>
      <c r="F34" s="4" t="s">
        <v>2016</v>
      </c>
      <c r="G34" t="s">
        <v>44</v>
      </c>
      <c r="H34" t="s">
        <v>148</v>
      </c>
      <c r="I34" t="s">
        <v>149</v>
      </c>
      <c r="J34" t="s">
        <v>23</v>
      </c>
      <c r="K34" s="5" t="s">
        <v>1894</v>
      </c>
      <c r="L34" s="5" t="str">
        <f t="shared" si="0"/>
        <v>Philadelphia</v>
      </c>
      <c r="M34" t="s">
        <v>132</v>
      </c>
      <c r="N34">
        <v>19140</v>
      </c>
      <c r="O34" t="s">
        <v>133</v>
      </c>
      <c r="P34" t="s">
        <v>161</v>
      </c>
      <c r="Q34" t="s">
        <v>40</v>
      </c>
      <c r="R34" t="s">
        <v>68</v>
      </c>
      <c r="S34" t="s">
        <v>162</v>
      </c>
      <c r="T34">
        <v>6.8580000000000014</v>
      </c>
      <c r="U34">
        <v>6</v>
      </c>
      <c r="V34">
        <v>0.7</v>
      </c>
      <c r="W34">
        <v>-5.7149999999999999</v>
      </c>
    </row>
    <row r="35" spans="1:23" x14ac:dyDescent="0.3">
      <c r="A35">
        <v>34</v>
      </c>
      <c r="B35" t="s">
        <v>147</v>
      </c>
      <c r="C35" s="2">
        <v>42264</v>
      </c>
      <c r="D35" s="2" t="str">
        <f>LEFT(orders[[#This Row],[Ship Date]],FIND("0",F35)-1)</f>
        <v>9</v>
      </c>
      <c r="E35" s="2" t="str">
        <f>RIGHT(orders[[#This Row],[Ship Date]],4)</f>
        <v>2015</v>
      </c>
      <c r="F35" s="4" t="s">
        <v>2016</v>
      </c>
      <c r="G35" t="s">
        <v>44</v>
      </c>
      <c r="H35" t="s">
        <v>148</v>
      </c>
      <c r="I35" t="s">
        <v>149</v>
      </c>
      <c r="J35" t="s">
        <v>23</v>
      </c>
      <c r="K35" s="5" t="s">
        <v>1894</v>
      </c>
      <c r="L35" s="5" t="str">
        <f t="shared" si="0"/>
        <v>Philadelphia</v>
      </c>
      <c r="M35" t="s">
        <v>132</v>
      </c>
      <c r="N35">
        <v>19140</v>
      </c>
      <c r="O35" t="s">
        <v>133</v>
      </c>
      <c r="P35" t="s">
        <v>163</v>
      </c>
      <c r="Q35" t="s">
        <v>40</v>
      </c>
      <c r="R35" t="s">
        <v>61</v>
      </c>
      <c r="S35" t="s">
        <v>164</v>
      </c>
      <c r="T35">
        <v>15.76</v>
      </c>
      <c r="U35">
        <v>2</v>
      </c>
      <c r="V35">
        <v>0.2</v>
      </c>
      <c r="W35">
        <v>3.5460000000000007</v>
      </c>
    </row>
    <row r="36" spans="1:23" x14ac:dyDescent="0.3">
      <c r="A36">
        <v>35</v>
      </c>
      <c r="B36" t="s">
        <v>165</v>
      </c>
      <c r="C36" s="2">
        <v>43027</v>
      </c>
      <c r="D36" s="2" t="str">
        <f>LEFT(orders[[#This Row],[Ship Date]],FIND("0",F36)-1)</f>
        <v>1</v>
      </c>
      <c r="E36" s="2" t="str">
        <f>RIGHT(orders[[#This Row],[Ship Date]],4)</f>
        <v>2017</v>
      </c>
      <c r="F36" s="4" t="s">
        <v>2017</v>
      </c>
      <c r="G36" t="s">
        <v>20</v>
      </c>
      <c r="H36" t="s">
        <v>166</v>
      </c>
      <c r="I36" t="s">
        <v>167</v>
      </c>
      <c r="J36" t="s">
        <v>93</v>
      </c>
      <c r="K36" s="5" t="s">
        <v>1896</v>
      </c>
      <c r="L36" s="5" t="str">
        <f t="shared" si="0"/>
        <v>Houston</v>
      </c>
      <c r="M36" t="s">
        <v>94</v>
      </c>
      <c r="N36">
        <v>77095</v>
      </c>
      <c r="O36" t="s">
        <v>95</v>
      </c>
      <c r="P36" t="s">
        <v>168</v>
      </c>
      <c r="Q36" t="s">
        <v>40</v>
      </c>
      <c r="R36" t="s">
        <v>82</v>
      </c>
      <c r="S36" t="s">
        <v>169</v>
      </c>
      <c r="T36">
        <v>29.472000000000001</v>
      </c>
      <c r="U36">
        <v>3</v>
      </c>
      <c r="V36">
        <v>0.2</v>
      </c>
      <c r="W36">
        <v>9.9467999999999979</v>
      </c>
    </row>
    <row r="37" spans="1:23" x14ac:dyDescent="0.3">
      <c r="A37">
        <v>36</v>
      </c>
      <c r="B37" t="s">
        <v>170</v>
      </c>
      <c r="C37" s="2">
        <v>42712</v>
      </c>
      <c r="D37" s="2" t="str">
        <f>LEFT(orders[[#This Row],[Ship Date]],FIND("0",F37)-1)</f>
        <v>12</v>
      </c>
      <c r="E37" s="2" t="str">
        <f>RIGHT(orders[[#This Row],[Ship Date]],4)</f>
        <v>2016</v>
      </c>
      <c r="F37" s="4" t="s">
        <v>2007</v>
      </c>
      <c r="G37" t="s">
        <v>171</v>
      </c>
      <c r="H37" t="s">
        <v>172</v>
      </c>
      <c r="I37" t="s">
        <v>173</v>
      </c>
      <c r="J37" t="s">
        <v>36</v>
      </c>
      <c r="K37" s="5" t="s">
        <v>1897</v>
      </c>
      <c r="L37" s="5" t="str">
        <f t="shared" si="0"/>
        <v>Richardson</v>
      </c>
      <c r="M37" t="s">
        <v>94</v>
      </c>
      <c r="N37">
        <v>75080</v>
      </c>
      <c r="O37" t="s">
        <v>95</v>
      </c>
      <c r="P37" t="s">
        <v>174</v>
      </c>
      <c r="Q37" t="s">
        <v>64</v>
      </c>
      <c r="R37" t="s">
        <v>65</v>
      </c>
      <c r="S37" t="s">
        <v>175</v>
      </c>
      <c r="T37">
        <v>1097.5440000000003</v>
      </c>
      <c r="U37">
        <v>7</v>
      </c>
      <c r="V37">
        <v>0.2</v>
      </c>
      <c r="W37">
        <v>123.47369999999989</v>
      </c>
    </row>
    <row r="38" spans="1:23" x14ac:dyDescent="0.3">
      <c r="A38">
        <v>37</v>
      </c>
      <c r="B38" t="s">
        <v>170</v>
      </c>
      <c r="C38" s="2">
        <v>42712</v>
      </c>
      <c r="D38" s="2" t="str">
        <f>LEFT(orders[[#This Row],[Ship Date]],FIND("0",F38)-1)</f>
        <v>12</v>
      </c>
      <c r="E38" s="2" t="str">
        <f>RIGHT(orders[[#This Row],[Ship Date]],4)</f>
        <v>2016</v>
      </c>
      <c r="F38" s="4" t="s">
        <v>2007</v>
      </c>
      <c r="G38" t="s">
        <v>171</v>
      </c>
      <c r="H38" t="s">
        <v>172</v>
      </c>
      <c r="I38" t="s">
        <v>173</v>
      </c>
      <c r="J38" t="s">
        <v>36</v>
      </c>
      <c r="K38" s="5" t="s">
        <v>1897</v>
      </c>
      <c r="L38" s="5" t="str">
        <f t="shared" si="0"/>
        <v>Richardson</v>
      </c>
      <c r="M38" t="s">
        <v>94</v>
      </c>
      <c r="N38">
        <v>75080</v>
      </c>
      <c r="O38" t="s">
        <v>95</v>
      </c>
      <c r="P38" t="s">
        <v>176</v>
      </c>
      <c r="Q38" t="s">
        <v>27</v>
      </c>
      <c r="R38" t="s">
        <v>58</v>
      </c>
      <c r="S38" t="s">
        <v>177</v>
      </c>
      <c r="T38">
        <v>190.92</v>
      </c>
      <c r="U38">
        <v>5</v>
      </c>
      <c r="V38">
        <v>0.6</v>
      </c>
      <c r="W38">
        <v>-147.96300000000002</v>
      </c>
    </row>
    <row r="39" spans="1:23" x14ac:dyDescent="0.3">
      <c r="A39">
        <v>38</v>
      </c>
      <c r="B39" t="s">
        <v>178</v>
      </c>
      <c r="C39" s="2">
        <v>42365</v>
      </c>
      <c r="D39" s="2" t="str">
        <f>LEFT(orders[[#This Row],[Ship Date]],FIND("0",F39)-1)</f>
        <v>12</v>
      </c>
      <c r="E39" s="2" t="str">
        <f>RIGHT(orders[[#This Row],[Ship Date]],4)</f>
        <v>2015</v>
      </c>
      <c r="F39" s="4" t="s">
        <v>2018</v>
      </c>
      <c r="G39" t="s">
        <v>44</v>
      </c>
      <c r="H39" t="s">
        <v>179</v>
      </c>
      <c r="I39" t="s">
        <v>180</v>
      </c>
      <c r="J39" t="s">
        <v>93</v>
      </c>
      <c r="K39" s="5" t="s">
        <v>1896</v>
      </c>
      <c r="L39" s="5" t="str">
        <f t="shared" si="0"/>
        <v>Houston</v>
      </c>
      <c r="M39" t="s">
        <v>94</v>
      </c>
      <c r="N39">
        <v>77041</v>
      </c>
      <c r="O39" t="s">
        <v>95</v>
      </c>
      <c r="P39" t="s">
        <v>181</v>
      </c>
      <c r="Q39" t="s">
        <v>40</v>
      </c>
      <c r="R39" t="s">
        <v>157</v>
      </c>
      <c r="S39" t="s">
        <v>182</v>
      </c>
      <c r="T39">
        <v>113.328</v>
      </c>
      <c r="U39">
        <v>9</v>
      </c>
      <c r="V39">
        <v>0.2</v>
      </c>
      <c r="W39">
        <v>35.414999999999999</v>
      </c>
    </row>
    <row r="40" spans="1:23" x14ac:dyDescent="0.3">
      <c r="A40">
        <v>39</v>
      </c>
      <c r="B40" t="s">
        <v>178</v>
      </c>
      <c r="C40" s="2">
        <v>42365</v>
      </c>
      <c r="D40" s="2" t="str">
        <f>LEFT(orders[[#This Row],[Ship Date]],FIND("0",F40)-1)</f>
        <v>12</v>
      </c>
      <c r="E40" s="2" t="str">
        <f>RIGHT(orders[[#This Row],[Ship Date]],4)</f>
        <v>2015</v>
      </c>
      <c r="F40" s="4" t="s">
        <v>2018</v>
      </c>
      <c r="G40" t="s">
        <v>44</v>
      </c>
      <c r="H40" t="s">
        <v>179</v>
      </c>
      <c r="I40" t="s">
        <v>180</v>
      </c>
      <c r="J40" t="s">
        <v>93</v>
      </c>
      <c r="K40" s="5" t="s">
        <v>1896</v>
      </c>
      <c r="L40" s="5" t="str">
        <f t="shared" si="0"/>
        <v>Houston</v>
      </c>
      <c r="M40" t="s">
        <v>94</v>
      </c>
      <c r="N40">
        <v>77041</v>
      </c>
      <c r="O40" t="s">
        <v>95</v>
      </c>
      <c r="P40" t="s">
        <v>183</v>
      </c>
      <c r="Q40" t="s">
        <v>27</v>
      </c>
      <c r="R40" t="s">
        <v>28</v>
      </c>
      <c r="S40" t="s">
        <v>184</v>
      </c>
      <c r="T40">
        <v>532.39919999999995</v>
      </c>
      <c r="U40">
        <v>3</v>
      </c>
      <c r="V40">
        <v>0.32</v>
      </c>
      <c r="W40">
        <v>-46.976400000000012</v>
      </c>
    </row>
    <row r="41" spans="1:23" x14ac:dyDescent="0.3">
      <c r="A41">
        <v>40</v>
      </c>
      <c r="B41" t="s">
        <v>178</v>
      </c>
      <c r="C41" s="2">
        <v>42365</v>
      </c>
      <c r="D41" s="2" t="str">
        <f>LEFT(orders[[#This Row],[Ship Date]],FIND("0",F41)-1)</f>
        <v>12</v>
      </c>
      <c r="E41" s="2" t="str">
        <f>RIGHT(orders[[#This Row],[Ship Date]],4)</f>
        <v>2015</v>
      </c>
      <c r="F41" s="4" t="s">
        <v>2018</v>
      </c>
      <c r="G41" t="s">
        <v>44</v>
      </c>
      <c r="H41" t="s">
        <v>179</v>
      </c>
      <c r="I41" t="s">
        <v>180</v>
      </c>
      <c r="J41" t="s">
        <v>93</v>
      </c>
      <c r="K41" s="5" t="s">
        <v>1896</v>
      </c>
      <c r="L41" s="5" t="str">
        <f t="shared" si="0"/>
        <v>Houston</v>
      </c>
      <c r="M41" t="s">
        <v>94</v>
      </c>
      <c r="N41">
        <v>77041</v>
      </c>
      <c r="O41" t="s">
        <v>95</v>
      </c>
      <c r="P41" t="s">
        <v>185</v>
      </c>
      <c r="Q41" t="s">
        <v>27</v>
      </c>
      <c r="R41" t="s">
        <v>31</v>
      </c>
      <c r="S41" t="s">
        <v>186</v>
      </c>
      <c r="T41">
        <v>212.05799999999999</v>
      </c>
      <c r="U41">
        <v>3</v>
      </c>
      <c r="V41">
        <v>0.3</v>
      </c>
      <c r="W41">
        <v>-15.146999999999991</v>
      </c>
    </row>
    <row r="42" spans="1:23" x14ac:dyDescent="0.3">
      <c r="A42">
        <v>41</v>
      </c>
      <c r="B42" t="s">
        <v>178</v>
      </c>
      <c r="C42" s="2">
        <v>42365</v>
      </c>
      <c r="D42" s="2" t="str">
        <f>LEFT(orders[[#This Row],[Ship Date]],FIND("0",F42)-1)</f>
        <v>12</v>
      </c>
      <c r="E42" s="2" t="str">
        <f>RIGHT(orders[[#This Row],[Ship Date]],4)</f>
        <v>2015</v>
      </c>
      <c r="F42" s="4" t="s">
        <v>2018</v>
      </c>
      <c r="G42" t="s">
        <v>44</v>
      </c>
      <c r="H42" t="s">
        <v>179</v>
      </c>
      <c r="I42" t="s">
        <v>180</v>
      </c>
      <c r="J42" t="s">
        <v>93</v>
      </c>
      <c r="K42" s="5" t="s">
        <v>1896</v>
      </c>
      <c r="L42" s="5" t="str">
        <f t="shared" si="0"/>
        <v>Houston</v>
      </c>
      <c r="M42" t="s">
        <v>94</v>
      </c>
      <c r="N42">
        <v>77041</v>
      </c>
      <c r="O42" t="s">
        <v>95</v>
      </c>
      <c r="P42" t="s">
        <v>187</v>
      </c>
      <c r="Q42" t="s">
        <v>64</v>
      </c>
      <c r="R42" t="s">
        <v>65</v>
      </c>
      <c r="S42" t="s">
        <v>188</v>
      </c>
      <c r="T42">
        <v>371.16800000000001</v>
      </c>
      <c r="U42">
        <v>4</v>
      </c>
      <c r="V42">
        <v>0.2</v>
      </c>
      <c r="W42">
        <v>41.756399999999957</v>
      </c>
    </row>
    <row r="43" spans="1:23" x14ac:dyDescent="0.3">
      <c r="A43">
        <v>42</v>
      </c>
      <c r="B43" t="s">
        <v>189</v>
      </c>
      <c r="C43" s="2">
        <v>42988</v>
      </c>
      <c r="D43" s="2" t="str">
        <f>LEFT(orders[[#This Row],[Ship Date]],FIND("0",F43)-1)</f>
        <v>9</v>
      </c>
      <c r="E43" s="2" t="str">
        <f>RIGHT(orders[[#This Row],[Ship Date]],4)</f>
        <v>2017</v>
      </c>
      <c r="F43" s="4" t="s">
        <v>2019</v>
      </c>
      <c r="G43" t="s">
        <v>44</v>
      </c>
      <c r="H43" t="s">
        <v>190</v>
      </c>
      <c r="I43" t="s">
        <v>191</v>
      </c>
      <c r="J43" t="s">
        <v>36</v>
      </c>
      <c r="K43" s="5" t="s">
        <v>1898</v>
      </c>
      <c r="L43" s="5" t="str">
        <f t="shared" si="0"/>
        <v>Naperville</v>
      </c>
      <c r="M43" t="s">
        <v>192</v>
      </c>
      <c r="N43">
        <v>60540</v>
      </c>
      <c r="O43" t="s">
        <v>95</v>
      </c>
      <c r="P43" t="s">
        <v>193</v>
      </c>
      <c r="Q43" t="s">
        <v>64</v>
      </c>
      <c r="R43" t="s">
        <v>65</v>
      </c>
      <c r="S43" t="s">
        <v>194</v>
      </c>
      <c r="T43">
        <v>147.16800000000001</v>
      </c>
      <c r="U43">
        <v>4</v>
      </c>
      <c r="V43">
        <v>0.2</v>
      </c>
      <c r="W43">
        <v>16.556399999999996</v>
      </c>
    </row>
    <row r="44" spans="1:23" x14ac:dyDescent="0.3">
      <c r="A44">
        <v>43</v>
      </c>
      <c r="B44" t="s">
        <v>195</v>
      </c>
      <c r="C44" s="2">
        <v>42568</v>
      </c>
      <c r="D44" s="2" t="str">
        <f>LEFT(orders[[#This Row],[Ship Date]],FIND("0",F44)-1)</f>
        <v>7</v>
      </c>
      <c r="E44" s="2" t="str">
        <f>RIGHT(orders[[#This Row],[Ship Date]],4)</f>
        <v>2016</v>
      </c>
      <c r="F44" s="4" t="s">
        <v>2020</v>
      </c>
      <c r="G44" t="s">
        <v>44</v>
      </c>
      <c r="H44" t="s">
        <v>196</v>
      </c>
      <c r="I44" t="s">
        <v>197</v>
      </c>
      <c r="J44" t="s">
        <v>36</v>
      </c>
      <c r="K44" s="5" t="s">
        <v>1885</v>
      </c>
      <c r="L44" s="5" t="str">
        <f t="shared" si="0"/>
        <v>Los Angeles</v>
      </c>
      <c r="M44" t="s">
        <v>37</v>
      </c>
      <c r="N44">
        <v>90049</v>
      </c>
      <c r="O44" t="s">
        <v>38</v>
      </c>
      <c r="P44" t="s">
        <v>198</v>
      </c>
      <c r="Q44" t="s">
        <v>40</v>
      </c>
      <c r="R44" t="s">
        <v>52</v>
      </c>
      <c r="S44" t="s">
        <v>199</v>
      </c>
      <c r="T44">
        <v>77.88</v>
      </c>
      <c r="U44">
        <v>2</v>
      </c>
      <c r="V44">
        <v>0</v>
      </c>
      <c r="W44">
        <v>3.8939999999999912</v>
      </c>
    </row>
    <row r="45" spans="1:23" x14ac:dyDescent="0.3">
      <c r="A45">
        <v>44</v>
      </c>
      <c r="B45" t="s">
        <v>200</v>
      </c>
      <c r="C45" s="2">
        <v>42997</v>
      </c>
      <c r="D45" s="2" t="str">
        <f>LEFT(orders[[#This Row],[Ship Date]],FIND("0",F45)-1)</f>
        <v>9</v>
      </c>
      <c r="E45" s="2" t="str">
        <f>RIGHT(orders[[#This Row],[Ship Date]],4)</f>
        <v>2017</v>
      </c>
      <c r="F45" s="4" t="s">
        <v>2021</v>
      </c>
      <c r="G45" t="s">
        <v>44</v>
      </c>
      <c r="H45" t="s">
        <v>201</v>
      </c>
      <c r="I45" t="s">
        <v>202</v>
      </c>
      <c r="J45" t="s">
        <v>36</v>
      </c>
      <c r="K45" s="5" t="s">
        <v>1899</v>
      </c>
      <c r="L45" s="5" t="str">
        <f t="shared" si="0"/>
        <v>Melbourne</v>
      </c>
      <c r="M45" t="s">
        <v>47</v>
      </c>
      <c r="N45">
        <v>32935</v>
      </c>
      <c r="O45" t="s">
        <v>25</v>
      </c>
      <c r="P45" t="s">
        <v>203</v>
      </c>
      <c r="Q45" t="s">
        <v>40</v>
      </c>
      <c r="R45" t="s">
        <v>52</v>
      </c>
      <c r="S45" t="s">
        <v>204</v>
      </c>
      <c r="T45">
        <v>95.616</v>
      </c>
      <c r="U45">
        <v>2</v>
      </c>
      <c r="V45">
        <v>0.2</v>
      </c>
      <c r="W45">
        <v>9.5616000000000092</v>
      </c>
    </row>
    <row r="46" spans="1:23" x14ac:dyDescent="0.3">
      <c r="A46">
        <v>45</v>
      </c>
      <c r="B46" t="s">
        <v>205</v>
      </c>
      <c r="C46" s="2">
        <v>42440</v>
      </c>
      <c r="D46" s="2" t="str">
        <f>LEFT(orders[[#This Row],[Ship Date]],FIND("0",F46)-1)</f>
        <v>3</v>
      </c>
      <c r="E46" s="2" t="str">
        <f>RIGHT(orders[[#This Row],[Ship Date]],4)</f>
        <v>2016</v>
      </c>
      <c r="F46" s="4" t="s">
        <v>2022</v>
      </c>
      <c r="G46" t="s">
        <v>171</v>
      </c>
      <c r="H46" t="s">
        <v>206</v>
      </c>
      <c r="I46" t="s">
        <v>207</v>
      </c>
      <c r="J46" t="s">
        <v>36</v>
      </c>
      <c r="K46" s="5" t="s">
        <v>1900</v>
      </c>
      <c r="L46" s="5" t="str">
        <f t="shared" si="0"/>
        <v>Eagan</v>
      </c>
      <c r="M46" t="s">
        <v>208</v>
      </c>
      <c r="N46">
        <v>55122</v>
      </c>
      <c r="O46" t="s">
        <v>95</v>
      </c>
      <c r="P46" t="s">
        <v>209</v>
      </c>
      <c r="Q46" t="s">
        <v>64</v>
      </c>
      <c r="R46" t="s">
        <v>145</v>
      </c>
      <c r="S46" t="s">
        <v>210</v>
      </c>
      <c r="T46">
        <v>45.98</v>
      </c>
      <c r="U46">
        <v>2</v>
      </c>
      <c r="V46">
        <v>0</v>
      </c>
      <c r="W46">
        <v>19.7714</v>
      </c>
    </row>
    <row r="47" spans="1:23" x14ac:dyDescent="0.3">
      <c r="A47">
        <v>46</v>
      </c>
      <c r="B47" t="s">
        <v>205</v>
      </c>
      <c r="C47" s="2">
        <v>42440</v>
      </c>
      <c r="D47" s="2" t="str">
        <f>LEFT(orders[[#This Row],[Ship Date]],FIND("0",F47)-1)</f>
        <v>3</v>
      </c>
      <c r="E47" s="2" t="str">
        <f>RIGHT(orders[[#This Row],[Ship Date]],4)</f>
        <v>2016</v>
      </c>
      <c r="F47" s="4" t="s">
        <v>2022</v>
      </c>
      <c r="G47" t="s">
        <v>171</v>
      </c>
      <c r="H47" t="s">
        <v>206</v>
      </c>
      <c r="I47" t="s">
        <v>207</v>
      </c>
      <c r="J47" t="s">
        <v>36</v>
      </c>
      <c r="K47" s="5" t="s">
        <v>1900</v>
      </c>
      <c r="L47" s="5" t="str">
        <f t="shared" si="0"/>
        <v>Eagan</v>
      </c>
      <c r="M47" t="s">
        <v>208</v>
      </c>
      <c r="N47">
        <v>55122</v>
      </c>
      <c r="O47" t="s">
        <v>95</v>
      </c>
      <c r="P47" t="s">
        <v>211</v>
      </c>
      <c r="Q47" t="s">
        <v>40</v>
      </c>
      <c r="R47" t="s">
        <v>68</v>
      </c>
      <c r="S47" t="s">
        <v>212</v>
      </c>
      <c r="T47">
        <v>17.46</v>
      </c>
      <c r="U47">
        <v>2</v>
      </c>
      <c r="V47">
        <v>0</v>
      </c>
      <c r="W47">
        <v>8.2061999999999991</v>
      </c>
    </row>
    <row r="48" spans="1:23" x14ac:dyDescent="0.3">
      <c r="A48">
        <v>47</v>
      </c>
      <c r="B48" t="s">
        <v>213</v>
      </c>
      <c r="C48" s="2">
        <v>41932</v>
      </c>
      <c r="D48" s="2" t="str">
        <f>LEFT(orders[[#This Row],[Ship Date]],FIND("0",F48)-1)</f>
        <v>1</v>
      </c>
      <c r="E48" s="2" t="str">
        <f>RIGHT(orders[[#This Row],[Ship Date]],4)</f>
        <v>2014</v>
      </c>
      <c r="F48" s="4" t="s">
        <v>2023</v>
      </c>
      <c r="G48" t="s">
        <v>20</v>
      </c>
      <c r="H48" t="s">
        <v>214</v>
      </c>
      <c r="I48" t="s">
        <v>215</v>
      </c>
      <c r="J48" t="s">
        <v>23</v>
      </c>
      <c r="K48" s="5" t="s">
        <v>1901</v>
      </c>
      <c r="L48" s="5" t="str">
        <f t="shared" si="0"/>
        <v>Westland</v>
      </c>
      <c r="M48" t="s">
        <v>216</v>
      </c>
      <c r="N48">
        <v>48185</v>
      </c>
      <c r="O48" t="s">
        <v>95</v>
      </c>
      <c r="P48" t="s">
        <v>217</v>
      </c>
      <c r="Q48" t="s">
        <v>40</v>
      </c>
      <c r="R48" t="s">
        <v>52</v>
      </c>
      <c r="S48" t="s">
        <v>218</v>
      </c>
      <c r="T48">
        <v>211.96</v>
      </c>
      <c r="U48">
        <v>4</v>
      </c>
      <c r="V48">
        <v>0</v>
      </c>
      <c r="W48">
        <v>8.4783999999999935</v>
      </c>
    </row>
    <row r="49" spans="1:23" x14ac:dyDescent="0.3">
      <c r="A49">
        <v>48</v>
      </c>
      <c r="B49" t="s">
        <v>219</v>
      </c>
      <c r="C49" s="2">
        <v>42541</v>
      </c>
      <c r="D49" s="2" t="str">
        <f>LEFT(orders[[#This Row],[Ship Date]],FIND("0",F49)-1)</f>
        <v>6</v>
      </c>
      <c r="E49" s="2" t="str">
        <f>RIGHT(orders[[#This Row],[Ship Date]],4)</f>
        <v>2016</v>
      </c>
      <c r="F49" s="4" t="s">
        <v>2024</v>
      </c>
      <c r="G49" t="s">
        <v>44</v>
      </c>
      <c r="H49" t="s">
        <v>220</v>
      </c>
      <c r="I49" t="s">
        <v>221</v>
      </c>
      <c r="J49" t="s">
        <v>23</v>
      </c>
      <c r="K49" s="5" t="s">
        <v>1902</v>
      </c>
      <c r="L49" s="5" t="str">
        <f t="shared" si="0"/>
        <v>Dover</v>
      </c>
      <c r="M49" t="s">
        <v>222</v>
      </c>
      <c r="N49">
        <v>19901</v>
      </c>
      <c r="O49" t="s">
        <v>133</v>
      </c>
      <c r="P49" t="s">
        <v>223</v>
      </c>
      <c r="Q49" t="s">
        <v>64</v>
      </c>
      <c r="R49" t="s">
        <v>145</v>
      </c>
      <c r="S49" t="s">
        <v>224</v>
      </c>
      <c r="T49">
        <v>45</v>
      </c>
      <c r="U49">
        <v>3</v>
      </c>
      <c r="V49">
        <v>0</v>
      </c>
      <c r="W49">
        <v>4.9500000000000011</v>
      </c>
    </row>
    <row r="50" spans="1:23" x14ac:dyDescent="0.3">
      <c r="A50">
        <v>49</v>
      </c>
      <c r="B50" t="s">
        <v>219</v>
      </c>
      <c r="C50" s="2">
        <v>42541</v>
      </c>
      <c r="D50" s="2" t="str">
        <f>LEFT(orders[[#This Row],[Ship Date]],FIND("0",F50)-1)</f>
        <v>6</v>
      </c>
      <c r="E50" s="2" t="str">
        <f>RIGHT(orders[[#This Row],[Ship Date]],4)</f>
        <v>2016</v>
      </c>
      <c r="F50" s="4" t="s">
        <v>2024</v>
      </c>
      <c r="G50" t="s">
        <v>44</v>
      </c>
      <c r="H50" t="s">
        <v>220</v>
      </c>
      <c r="I50" t="s">
        <v>221</v>
      </c>
      <c r="J50" t="s">
        <v>23</v>
      </c>
      <c r="K50" s="5" t="s">
        <v>1902</v>
      </c>
      <c r="L50" s="5" t="str">
        <f t="shared" si="0"/>
        <v>Dover</v>
      </c>
      <c r="M50" t="s">
        <v>222</v>
      </c>
      <c r="N50">
        <v>19901</v>
      </c>
      <c r="O50" t="s">
        <v>133</v>
      </c>
      <c r="P50" t="s">
        <v>225</v>
      </c>
      <c r="Q50" t="s">
        <v>64</v>
      </c>
      <c r="R50" t="s">
        <v>65</v>
      </c>
      <c r="S50" t="s">
        <v>226</v>
      </c>
      <c r="T50">
        <v>21.8</v>
      </c>
      <c r="U50">
        <v>2</v>
      </c>
      <c r="V50">
        <v>0</v>
      </c>
      <c r="W50">
        <v>6.104000000000001</v>
      </c>
    </row>
    <row r="51" spans="1:23" x14ac:dyDescent="0.3">
      <c r="A51">
        <v>50</v>
      </c>
      <c r="B51" t="s">
        <v>227</v>
      </c>
      <c r="C51" s="2">
        <v>42112</v>
      </c>
      <c r="D51" s="2" t="str">
        <f>LEFT(orders[[#This Row],[Ship Date]],FIND("0",F51)-1)</f>
        <v>4</v>
      </c>
      <c r="E51" s="2" t="str">
        <f>RIGHT(orders[[#This Row],[Ship Date]],4)</f>
        <v>2015</v>
      </c>
      <c r="F51" s="4" t="s">
        <v>2025</v>
      </c>
      <c r="G51" t="s">
        <v>44</v>
      </c>
      <c r="H51" t="s">
        <v>228</v>
      </c>
      <c r="I51" t="s">
        <v>229</v>
      </c>
      <c r="J51" t="s">
        <v>23</v>
      </c>
      <c r="K51" s="5" t="s">
        <v>1903</v>
      </c>
      <c r="L51" s="5" t="str">
        <f t="shared" si="0"/>
        <v>New Albany</v>
      </c>
      <c r="M51" t="s">
        <v>230</v>
      </c>
      <c r="N51">
        <v>47150</v>
      </c>
      <c r="O51" t="s">
        <v>95</v>
      </c>
      <c r="P51" t="s">
        <v>231</v>
      </c>
      <c r="Q51" t="s">
        <v>40</v>
      </c>
      <c r="R51" t="s">
        <v>68</v>
      </c>
      <c r="S51" t="s">
        <v>232</v>
      </c>
      <c r="T51">
        <v>38.22</v>
      </c>
      <c r="U51">
        <v>6</v>
      </c>
      <c r="V51">
        <v>0</v>
      </c>
      <c r="W51">
        <v>17.9634</v>
      </c>
    </row>
    <row r="52" spans="1:23" x14ac:dyDescent="0.3">
      <c r="A52">
        <v>51</v>
      </c>
      <c r="B52" t="s">
        <v>227</v>
      </c>
      <c r="C52" s="2">
        <v>42112</v>
      </c>
      <c r="D52" s="2" t="str">
        <f>LEFT(orders[[#This Row],[Ship Date]],FIND("0",F52)-1)</f>
        <v>4</v>
      </c>
      <c r="E52" s="2" t="str">
        <f>RIGHT(orders[[#This Row],[Ship Date]],4)</f>
        <v>2015</v>
      </c>
      <c r="F52" s="4" t="s">
        <v>2025</v>
      </c>
      <c r="G52" t="s">
        <v>44</v>
      </c>
      <c r="H52" t="s">
        <v>228</v>
      </c>
      <c r="I52" t="s">
        <v>229</v>
      </c>
      <c r="J52" t="s">
        <v>23</v>
      </c>
      <c r="K52" s="5" t="s">
        <v>1903</v>
      </c>
      <c r="L52" s="5" t="str">
        <f t="shared" si="0"/>
        <v>New Albany</v>
      </c>
      <c r="M52" t="s">
        <v>230</v>
      </c>
      <c r="N52">
        <v>47150</v>
      </c>
      <c r="O52" t="s">
        <v>95</v>
      </c>
      <c r="P52" t="s">
        <v>233</v>
      </c>
      <c r="Q52" t="s">
        <v>40</v>
      </c>
      <c r="R52" t="s">
        <v>41</v>
      </c>
      <c r="S52" t="s">
        <v>234</v>
      </c>
      <c r="T52">
        <v>75.179999999999993</v>
      </c>
      <c r="U52">
        <v>6</v>
      </c>
      <c r="V52">
        <v>0</v>
      </c>
      <c r="W52">
        <v>35.334599999999995</v>
      </c>
    </row>
    <row r="53" spans="1:23" x14ac:dyDescent="0.3">
      <c r="A53">
        <v>52</v>
      </c>
      <c r="B53" t="s">
        <v>227</v>
      </c>
      <c r="C53" s="2">
        <v>42112</v>
      </c>
      <c r="D53" s="2" t="str">
        <f>LEFT(orders[[#This Row],[Ship Date]],FIND("0",F53)-1)</f>
        <v>4</v>
      </c>
      <c r="E53" s="2" t="str">
        <f>RIGHT(orders[[#This Row],[Ship Date]],4)</f>
        <v>2015</v>
      </c>
      <c r="F53" s="4" t="s">
        <v>2025</v>
      </c>
      <c r="G53" t="s">
        <v>44</v>
      </c>
      <c r="H53" t="s">
        <v>228</v>
      </c>
      <c r="I53" t="s">
        <v>229</v>
      </c>
      <c r="J53" t="s">
        <v>23</v>
      </c>
      <c r="K53" s="5" t="s">
        <v>1903</v>
      </c>
      <c r="L53" s="5" t="str">
        <f t="shared" si="0"/>
        <v>New Albany</v>
      </c>
      <c r="M53" t="s">
        <v>230</v>
      </c>
      <c r="N53">
        <v>47150</v>
      </c>
      <c r="O53" t="s">
        <v>95</v>
      </c>
      <c r="P53" t="s">
        <v>235</v>
      </c>
      <c r="Q53" t="s">
        <v>27</v>
      </c>
      <c r="R53" t="s">
        <v>58</v>
      </c>
      <c r="S53" t="s">
        <v>236</v>
      </c>
      <c r="T53">
        <v>6.16</v>
      </c>
      <c r="U53">
        <v>2</v>
      </c>
      <c r="V53">
        <v>0</v>
      </c>
      <c r="W53">
        <v>2.9567999999999999</v>
      </c>
    </row>
    <row r="54" spans="1:23" x14ac:dyDescent="0.3">
      <c r="A54">
        <v>53</v>
      </c>
      <c r="B54" t="s">
        <v>227</v>
      </c>
      <c r="C54" s="2">
        <v>42112</v>
      </c>
      <c r="D54" s="2" t="str">
        <f>LEFT(orders[[#This Row],[Ship Date]],FIND("0",F54)-1)</f>
        <v>4</v>
      </c>
      <c r="E54" s="2" t="str">
        <f>RIGHT(orders[[#This Row],[Ship Date]],4)</f>
        <v>2015</v>
      </c>
      <c r="F54" s="4" t="s">
        <v>2025</v>
      </c>
      <c r="G54" t="s">
        <v>44</v>
      </c>
      <c r="H54" t="s">
        <v>228</v>
      </c>
      <c r="I54" t="s">
        <v>229</v>
      </c>
      <c r="J54" t="s">
        <v>23</v>
      </c>
      <c r="K54" s="5" t="s">
        <v>1903</v>
      </c>
      <c r="L54" s="5" t="str">
        <f t="shared" si="0"/>
        <v>New Albany</v>
      </c>
      <c r="M54" t="s">
        <v>230</v>
      </c>
      <c r="N54">
        <v>47150</v>
      </c>
      <c r="O54" t="s">
        <v>95</v>
      </c>
      <c r="P54" t="s">
        <v>237</v>
      </c>
      <c r="Q54" t="s">
        <v>27</v>
      </c>
      <c r="R54" t="s">
        <v>31</v>
      </c>
      <c r="S54" t="s">
        <v>238</v>
      </c>
      <c r="T54">
        <v>89.99</v>
      </c>
      <c r="U54">
        <v>1</v>
      </c>
      <c r="V54">
        <v>0</v>
      </c>
      <c r="W54">
        <v>17.098099999999988</v>
      </c>
    </row>
    <row r="55" spans="1:23" x14ac:dyDescent="0.3">
      <c r="A55">
        <v>54</v>
      </c>
      <c r="B55" t="s">
        <v>239</v>
      </c>
      <c r="C55" s="2">
        <v>42715</v>
      </c>
      <c r="D55" s="2" t="str">
        <f>LEFT(orders[[#This Row],[Ship Date]],FIND("0",F55)-1)</f>
        <v>12</v>
      </c>
      <c r="E55" s="2" t="str">
        <f>RIGHT(orders[[#This Row],[Ship Date]],4)</f>
        <v>2016</v>
      </c>
      <c r="F55" s="4" t="s">
        <v>2026</v>
      </c>
      <c r="G55" t="s">
        <v>44</v>
      </c>
      <c r="H55" t="s">
        <v>240</v>
      </c>
      <c r="I55" t="s">
        <v>241</v>
      </c>
      <c r="J55" t="s">
        <v>36</v>
      </c>
      <c r="K55" s="5" t="s">
        <v>1904</v>
      </c>
      <c r="L55" s="5" t="str">
        <f t="shared" si="0"/>
        <v>New York City</v>
      </c>
      <c r="M55" t="s">
        <v>242</v>
      </c>
      <c r="N55">
        <v>10024</v>
      </c>
      <c r="O55" t="s">
        <v>133</v>
      </c>
      <c r="P55" t="s">
        <v>243</v>
      </c>
      <c r="Q55" t="s">
        <v>40</v>
      </c>
      <c r="R55" t="s">
        <v>244</v>
      </c>
      <c r="S55" t="s">
        <v>245</v>
      </c>
      <c r="T55">
        <v>15.260000000000002</v>
      </c>
      <c r="U55">
        <v>7</v>
      </c>
      <c r="V55">
        <v>0</v>
      </c>
      <c r="W55">
        <v>6.2566000000000006</v>
      </c>
    </row>
    <row r="56" spans="1:23" x14ac:dyDescent="0.3">
      <c r="A56">
        <v>55</v>
      </c>
      <c r="B56" t="s">
        <v>239</v>
      </c>
      <c r="C56" s="2">
        <v>42715</v>
      </c>
      <c r="D56" s="2" t="str">
        <f>LEFT(orders[[#This Row],[Ship Date]],FIND("0",F56)-1)</f>
        <v>12</v>
      </c>
      <c r="E56" s="2" t="str">
        <f>RIGHT(orders[[#This Row],[Ship Date]],4)</f>
        <v>2016</v>
      </c>
      <c r="F56" s="4" t="s">
        <v>2026</v>
      </c>
      <c r="G56" t="s">
        <v>44</v>
      </c>
      <c r="H56" t="s">
        <v>240</v>
      </c>
      <c r="I56" t="s">
        <v>241</v>
      </c>
      <c r="J56" t="s">
        <v>36</v>
      </c>
      <c r="K56" s="5" t="s">
        <v>1904</v>
      </c>
      <c r="L56" s="5" t="str">
        <f t="shared" si="0"/>
        <v>New York City</v>
      </c>
      <c r="M56" t="s">
        <v>242</v>
      </c>
      <c r="N56">
        <v>10024</v>
      </c>
      <c r="O56" t="s">
        <v>133</v>
      </c>
      <c r="P56" t="s">
        <v>246</v>
      </c>
      <c r="Q56" t="s">
        <v>64</v>
      </c>
      <c r="R56" t="s">
        <v>65</v>
      </c>
      <c r="S56" t="s">
        <v>247</v>
      </c>
      <c r="T56">
        <v>1029.95</v>
      </c>
      <c r="U56">
        <v>5</v>
      </c>
      <c r="V56">
        <v>0</v>
      </c>
      <c r="W56">
        <v>298.68549999999999</v>
      </c>
    </row>
    <row r="57" spans="1:23" x14ac:dyDescent="0.3">
      <c r="A57">
        <v>56</v>
      </c>
      <c r="B57" t="s">
        <v>248</v>
      </c>
      <c r="C57" s="2">
        <v>42538</v>
      </c>
      <c r="D57" s="2" t="str">
        <f>LEFT(orders[[#This Row],[Ship Date]],FIND("0",F57)-1)</f>
        <v>6</v>
      </c>
      <c r="E57" s="2" t="str">
        <f>RIGHT(orders[[#This Row],[Ship Date]],4)</f>
        <v>2016</v>
      </c>
      <c r="F57" s="4" t="s">
        <v>2027</v>
      </c>
      <c r="G57" t="s">
        <v>171</v>
      </c>
      <c r="H57" t="s">
        <v>249</v>
      </c>
      <c r="I57" t="s">
        <v>250</v>
      </c>
      <c r="J57" t="s">
        <v>23</v>
      </c>
      <c r="K57" s="5" t="s">
        <v>1905</v>
      </c>
      <c r="L57" s="5" t="str">
        <f t="shared" si="0"/>
        <v>Troy</v>
      </c>
      <c r="M57" t="s">
        <v>242</v>
      </c>
      <c r="N57">
        <v>12180</v>
      </c>
      <c r="O57" t="s">
        <v>133</v>
      </c>
      <c r="P57" t="s">
        <v>251</v>
      </c>
      <c r="Q57" t="s">
        <v>40</v>
      </c>
      <c r="R57" t="s">
        <v>52</v>
      </c>
      <c r="S57" t="s">
        <v>252</v>
      </c>
      <c r="T57">
        <v>208.56</v>
      </c>
      <c r="U57">
        <v>6</v>
      </c>
      <c r="V57">
        <v>0</v>
      </c>
      <c r="W57">
        <v>52.139999999999986</v>
      </c>
    </row>
    <row r="58" spans="1:23" x14ac:dyDescent="0.3">
      <c r="A58">
        <v>57</v>
      </c>
      <c r="B58" t="s">
        <v>248</v>
      </c>
      <c r="C58" s="2">
        <v>42538</v>
      </c>
      <c r="D58" s="2" t="str">
        <f>LEFT(orders[[#This Row],[Ship Date]],FIND("0",F58)-1)</f>
        <v>6</v>
      </c>
      <c r="E58" s="2" t="str">
        <f>RIGHT(orders[[#This Row],[Ship Date]],4)</f>
        <v>2016</v>
      </c>
      <c r="F58" s="4" t="s">
        <v>2027</v>
      </c>
      <c r="G58" t="s">
        <v>171</v>
      </c>
      <c r="H58" t="s">
        <v>249</v>
      </c>
      <c r="I58" t="s">
        <v>250</v>
      </c>
      <c r="J58" t="s">
        <v>23</v>
      </c>
      <c r="K58" s="5" t="s">
        <v>1905</v>
      </c>
      <c r="L58" s="5" t="str">
        <f t="shared" si="0"/>
        <v>Troy</v>
      </c>
      <c r="M58" t="s">
        <v>242</v>
      </c>
      <c r="N58">
        <v>12180</v>
      </c>
      <c r="O58" t="s">
        <v>133</v>
      </c>
      <c r="P58" t="s">
        <v>253</v>
      </c>
      <c r="Q58" t="s">
        <v>40</v>
      </c>
      <c r="R58" t="s">
        <v>82</v>
      </c>
      <c r="S58" t="s">
        <v>254</v>
      </c>
      <c r="T58">
        <v>32.400000000000006</v>
      </c>
      <c r="U58">
        <v>5</v>
      </c>
      <c r="V58">
        <v>0</v>
      </c>
      <c r="W58">
        <v>15.552000000000001</v>
      </c>
    </row>
    <row r="59" spans="1:23" x14ac:dyDescent="0.3">
      <c r="A59">
        <v>58</v>
      </c>
      <c r="B59" t="s">
        <v>248</v>
      </c>
      <c r="C59" s="2">
        <v>42538</v>
      </c>
      <c r="D59" s="2" t="str">
        <f>LEFT(orders[[#This Row],[Ship Date]],FIND("0",F59)-1)</f>
        <v>6</v>
      </c>
      <c r="E59" s="2" t="str">
        <f>RIGHT(orders[[#This Row],[Ship Date]],4)</f>
        <v>2016</v>
      </c>
      <c r="F59" s="4" t="s">
        <v>2027</v>
      </c>
      <c r="G59" t="s">
        <v>171</v>
      </c>
      <c r="H59" t="s">
        <v>249</v>
      </c>
      <c r="I59" t="s">
        <v>250</v>
      </c>
      <c r="J59" t="s">
        <v>23</v>
      </c>
      <c r="K59" s="5" t="s">
        <v>1905</v>
      </c>
      <c r="L59" s="5" t="str">
        <f t="shared" si="0"/>
        <v>Troy</v>
      </c>
      <c r="M59" t="s">
        <v>242</v>
      </c>
      <c r="N59">
        <v>12180</v>
      </c>
      <c r="O59" t="s">
        <v>133</v>
      </c>
      <c r="P59" t="s">
        <v>255</v>
      </c>
      <c r="Q59" t="s">
        <v>27</v>
      </c>
      <c r="R59" t="s">
        <v>31</v>
      </c>
      <c r="S59" t="s">
        <v>256</v>
      </c>
      <c r="T59">
        <v>319.41000000000003</v>
      </c>
      <c r="U59">
        <v>5</v>
      </c>
      <c r="V59">
        <v>0.1</v>
      </c>
      <c r="W59">
        <v>7.0980000000000061</v>
      </c>
    </row>
    <row r="60" spans="1:23" x14ac:dyDescent="0.3">
      <c r="A60">
        <v>59</v>
      </c>
      <c r="B60" t="s">
        <v>248</v>
      </c>
      <c r="C60" s="2">
        <v>42538</v>
      </c>
      <c r="D60" s="2" t="str">
        <f>LEFT(orders[[#This Row],[Ship Date]],FIND("0",F60)-1)</f>
        <v>6</v>
      </c>
      <c r="E60" s="2" t="str">
        <f>RIGHT(orders[[#This Row],[Ship Date]],4)</f>
        <v>2016</v>
      </c>
      <c r="F60" s="4" t="s">
        <v>2027</v>
      </c>
      <c r="G60" t="s">
        <v>171</v>
      </c>
      <c r="H60" t="s">
        <v>249</v>
      </c>
      <c r="I60" t="s">
        <v>250</v>
      </c>
      <c r="J60" t="s">
        <v>23</v>
      </c>
      <c r="K60" s="5" t="s">
        <v>1905</v>
      </c>
      <c r="L60" s="5" t="str">
        <f t="shared" si="0"/>
        <v>Troy</v>
      </c>
      <c r="M60" t="s">
        <v>242</v>
      </c>
      <c r="N60">
        <v>12180</v>
      </c>
      <c r="O60" t="s">
        <v>133</v>
      </c>
      <c r="P60" t="s">
        <v>257</v>
      </c>
      <c r="Q60" t="s">
        <v>40</v>
      </c>
      <c r="R60" t="s">
        <v>82</v>
      </c>
      <c r="S60" t="s">
        <v>258</v>
      </c>
      <c r="T60">
        <v>14.56</v>
      </c>
      <c r="U60">
        <v>2</v>
      </c>
      <c r="V60">
        <v>0</v>
      </c>
      <c r="W60">
        <v>6.9888000000000003</v>
      </c>
    </row>
    <row r="61" spans="1:23" x14ac:dyDescent="0.3">
      <c r="A61">
        <v>60</v>
      </c>
      <c r="B61" t="s">
        <v>248</v>
      </c>
      <c r="C61" s="2">
        <v>42538</v>
      </c>
      <c r="D61" s="2" t="str">
        <f>LEFT(orders[[#This Row],[Ship Date]],FIND("0",F61)-1)</f>
        <v>6</v>
      </c>
      <c r="E61" s="2" t="str">
        <f>RIGHT(orders[[#This Row],[Ship Date]],4)</f>
        <v>2016</v>
      </c>
      <c r="F61" s="4" t="s">
        <v>2027</v>
      </c>
      <c r="G61" t="s">
        <v>171</v>
      </c>
      <c r="H61" t="s">
        <v>249</v>
      </c>
      <c r="I61" t="s">
        <v>250</v>
      </c>
      <c r="J61" t="s">
        <v>23</v>
      </c>
      <c r="K61" s="5" t="s">
        <v>1905</v>
      </c>
      <c r="L61" s="5" t="str">
        <f t="shared" si="0"/>
        <v>Troy</v>
      </c>
      <c r="M61" t="s">
        <v>242</v>
      </c>
      <c r="N61">
        <v>12180</v>
      </c>
      <c r="O61" t="s">
        <v>133</v>
      </c>
      <c r="P61" t="s">
        <v>223</v>
      </c>
      <c r="Q61" t="s">
        <v>64</v>
      </c>
      <c r="R61" t="s">
        <v>145</v>
      </c>
      <c r="S61" t="s">
        <v>224</v>
      </c>
      <c r="T61">
        <v>30</v>
      </c>
      <c r="U61">
        <v>2</v>
      </c>
      <c r="V61">
        <v>0</v>
      </c>
      <c r="W61">
        <v>3.3000000000000007</v>
      </c>
    </row>
    <row r="62" spans="1:23" x14ac:dyDescent="0.3">
      <c r="A62">
        <v>61</v>
      </c>
      <c r="B62" t="s">
        <v>248</v>
      </c>
      <c r="C62" s="2">
        <v>42538</v>
      </c>
      <c r="D62" s="2" t="str">
        <f>LEFT(orders[[#This Row],[Ship Date]],FIND("0",F62)-1)</f>
        <v>6</v>
      </c>
      <c r="E62" s="2" t="str">
        <f>RIGHT(orders[[#This Row],[Ship Date]],4)</f>
        <v>2016</v>
      </c>
      <c r="F62" s="4" t="s">
        <v>2027</v>
      </c>
      <c r="G62" t="s">
        <v>171</v>
      </c>
      <c r="H62" t="s">
        <v>249</v>
      </c>
      <c r="I62" t="s">
        <v>250</v>
      </c>
      <c r="J62" t="s">
        <v>23</v>
      </c>
      <c r="K62" s="5" t="s">
        <v>1905</v>
      </c>
      <c r="L62" s="5" t="str">
        <f t="shared" si="0"/>
        <v>Troy</v>
      </c>
      <c r="M62" t="s">
        <v>242</v>
      </c>
      <c r="N62">
        <v>12180</v>
      </c>
      <c r="O62" t="s">
        <v>133</v>
      </c>
      <c r="P62" t="s">
        <v>259</v>
      </c>
      <c r="Q62" t="s">
        <v>40</v>
      </c>
      <c r="R62" t="s">
        <v>68</v>
      </c>
      <c r="S62" t="s">
        <v>260</v>
      </c>
      <c r="T62">
        <v>48.480000000000004</v>
      </c>
      <c r="U62">
        <v>4</v>
      </c>
      <c r="V62">
        <v>0.2</v>
      </c>
      <c r="W62">
        <v>16.361999999999998</v>
      </c>
    </row>
    <row r="63" spans="1:23" x14ac:dyDescent="0.3">
      <c r="A63">
        <v>62</v>
      </c>
      <c r="B63" t="s">
        <v>248</v>
      </c>
      <c r="C63" s="2">
        <v>42538</v>
      </c>
      <c r="D63" s="2" t="str">
        <f>LEFT(orders[[#This Row],[Ship Date]],FIND("0",F63)-1)</f>
        <v>6</v>
      </c>
      <c r="E63" s="2" t="str">
        <f>RIGHT(orders[[#This Row],[Ship Date]],4)</f>
        <v>2016</v>
      </c>
      <c r="F63" s="4" t="s">
        <v>2027</v>
      </c>
      <c r="G63" t="s">
        <v>171</v>
      </c>
      <c r="H63" t="s">
        <v>249</v>
      </c>
      <c r="I63" t="s">
        <v>250</v>
      </c>
      <c r="J63" t="s">
        <v>23</v>
      </c>
      <c r="K63" s="5" t="s">
        <v>1905</v>
      </c>
      <c r="L63" s="5" t="str">
        <f t="shared" si="0"/>
        <v>Troy</v>
      </c>
      <c r="M63" t="s">
        <v>242</v>
      </c>
      <c r="N63">
        <v>12180</v>
      </c>
      <c r="O63" t="s">
        <v>133</v>
      </c>
      <c r="P63" t="s">
        <v>261</v>
      </c>
      <c r="Q63" t="s">
        <v>40</v>
      </c>
      <c r="R63" t="s">
        <v>61</v>
      </c>
      <c r="S63" t="s">
        <v>262</v>
      </c>
      <c r="T63">
        <v>1.68</v>
      </c>
      <c r="U63">
        <v>1</v>
      </c>
      <c r="V63">
        <v>0</v>
      </c>
      <c r="W63">
        <v>0.84</v>
      </c>
    </row>
    <row r="64" spans="1:23" x14ac:dyDescent="0.3">
      <c r="A64">
        <v>63</v>
      </c>
      <c r="B64" t="s">
        <v>263</v>
      </c>
      <c r="C64" s="2">
        <v>42332</v>
      </c>
      <c r="D64" s="2" t="str">
        <f>LEFT(orders[[#This Row],[Ship Date]],FIND("0",F64)-1)</f>
        <v>11</v>
      </c>
      <c r="E64" s="2" t="str">
        <f>RIGHT(orders[[#This Row],[Ship Date]],4)</f>
        <v>2015</v>
      </c>
      <c r="F64" s="4" t="s">
        <v>2028</v>
      </c>
      <c r="G64" t="s">
        <v>44</v>
      </c>
      <c r="H64" t="s">
        <v>264</v>
      </c>
      <c r="I64" t="s">
        <v>265</v>
      </c>
      <c r="J64" t="s">
        <v>23</v>
      </c>
      <c r="K64" s="5" t="s">
        <v>1885</v>
      </c>
      <c r="L64" s="5" t="str">
        <f t="shared" si="0"/>
        <v>Los Angeles</v>
      </c>
      <c r="M64" t="s">
        <v>37</v>
      </c>
      <c r="N64">
        <v>90004</v>
      </c>
      <c r="O64" t="s">
        <v>38</v>
      </c>
      <c r="P64" t="s">
        <v>266</v>
      </c>
      <c r="Q64" t="s">
        <v>64</v>
      </c>
      <c r="R64" t="s">
        <v>145</v>
      </c>
      <c r="S64" t="s">
        <v>267</v>
      </c>
      <c r="T64">
        <v>13.98</v>
      </c>
      <c r="U64">
        <v>2</v>
      </c>
      <c r="V64">
        <v>0</v>
      </c>
      <c r="W64">
        <v>6.1512000000000011</v>
      </c>
    </row>
    <row r="65" spans="1:23" x14ac:dyDescent="0.3">
      <c r="A65">
        <v>64</v>
      </c>
      <c r="B65" t="s">
        <v>263</v>
      </c>
      <c r="C65" s="2">
        <v>42332</v>
      </c>
      <c r="D65" s="2" t="str">
        <f>LEFT(orders[[#This Row],[Ship Date]],FIND("0",F65)-1)</f>
        <v>11</v>
      </c>
      <c r="E65" s="2" t="str">
        <f>RIGHT(orders[[#This Row],[Ship Date]],4)</f>
        <v>2015</v>
      </c>
      <c r="F65" s="4" t="s">
        <v>2028</v>
      </c>
      <c r="G65" t="s">
        <v>44</v>
      </c>
      <c r="H65" t="s">
        <v>264</v>
      </c>
      <c r="I65" t="s">
        <v>265</v>
      </c>
      <c r="J65" t="s">
        <v>23</v>
      </c>
      <c r="K65" s="5" t="s">
        <v>1885</v>
      </c>
      <c r="L65" s="5" t="str">
        <f t="shared" si="0"/>
        <v>Los Angeles</v>
      </c>
      <c r="M65" t="s">
        <v>37</v>
      </c>
      <c r="N65">
        <v>90004</v>
      </c>
      <c r="O65" t="s">
        <v>38</v>
      </c>
      <c r="P65" t="s">
        <v>268</v>
      </c>
      <c r="Q65" t="s">
        <v>40</v>
      </c>
      <c r="R65" t="s">
        <v>68</v>
      </c>
      <c r="S65" t="s">
        <v>269</v>
      </c>
      <c r="T65">
        <v>25.824000000000002</v>
      </c>
      <c r="U65">
        <v>6</v>
      </c>
      <c r="V65">
        <v>0.2</v>
      </c>
      <c r="W65">
        <v>9.3612000000000002</v>
      </c>
    </row>
    <row r="66" spans="1:23" x14ac:dyDescent="0.3">
      <c r="A66">
        <v>65</v>
      </c>
      <c r="B66" t="s">
        <v>263</v>
      </c>
      <c r="C66" s="2">
        <v>42332</v>
      </c>
      <c r="D66" s="2" t="str">
        <f>LEFT(orders[[#This Row],[Ship Date]],FIND("0",F66)-1)</f>
        <v>11</v>
      </c>
      <c r="E66" s="2" t="str">
        <f>RIGHT(orders[[#This Row],[Ship Date]],4)</f>
        <v>2015</v>
      </c>
      <c r="F66" s="4" t="s">
        <v>2028</v>
      </c>
      <c r="G66" t="s">
        <v>44</v>
      </c>
      <c r="H66" t="s">
        <v>264</v>
      </c>
      <c r="I66" t="s">
        <v>265</v>
      </c>
      <c r="J66" t="s">
        <v>23</v>
      </c>
      <c r="K66" s="5" t="s">
        <v>1885</v>
      </c>
      <c r="L66" s="5" t="str">
        <f t="shared" ref="L66:L129" si="1">_xlfn.TEXTAFTER(K66,",")</f>
        <v>Los Angeles</v>
      </c>
      <c r="M66" t="s">
        <v>37</v>
      </c>
      <c r="N66">
        <v>90004</v>
      </c>
      <c r="O66" t="s">
        <v>38</v>
      </c>
      <c r="P66" t="s">
        <v>270</v>
      </c>
      <c r="Q66" t="s">
        <v>40</v>
      </c>
      <c r="R66" t="s">
        <v>82</v>
      </c>
      <c r="S66" t="s">
        <v>271</v>
      </c>
      <c r="T66">
        <v>146.72999999999999</v>
      </c>
      <c r="U66">
        <v>3</v>
      </c>
      <c r="V66">
        <v>0</v>
      </c>
      <c r="W66">
        <v>68.963099999999997</v>
      </c>
    </row>
    <row r="67" spans="1:23" x14ac:dyDescent="0.3">
      <c r="A67">
        <v>66</v>
      </c>
      <c r="B67" t="s">
        <v>263</v>
      </c>
      <c r="C67" s="2">
        <v>42332</v>
      </c>
      <c r="D67" s="2" t="str">
        <f>LEFT(orders[[#This Row],[Ship Date]],FIND("0",F67)-1)</f>
        <v>11</v>
      </c>
      <c r="E67" s="2" t="str">
        <f>RIGHT(orders[[#This Row],[Ship Date]],4)</f>
        <v>2015</v>
      </c>
      <c r="F67" s="4" t="s">
        <v>2028</v>
      </c>
      <c r="G67" t="s">
        <v>44</v>
      </c>
      <c r="H67" t="s">
        <v>264</v>
      </c>
      <c r="I67" t="s">
        <v>265</v>
      </c>
      <c r="J67" t="s">
        <v>23</v>
      </c>
      <c r="K67" s="5" t="s">
        <v>1885</v>
      </c>
      <c r="L67" s="5" t="str">
        <f t="shared" si="1"/>
        <v>Los Angeles</v>
      </c>
      <c r="M67" t="s">
        <v>37</v>
      </c>
      <c r="N67">
        <v>90004</v>
      </c>
      <c r="O67" t="s">
        <v>38</v>
      </c>
      <c r="P67" t="s">
        <v>272</v>
      </c>
      <c r="Q67" t="s">
        <v>27</v>
      </c>
      <c r="R67" t="s">
        <v>58</v>
      </c>
      <c r="S67" t="s">
        <v>273</v>
      </c>
      <c r="T67">
        <v>79.760000000000005</v>
      </c>
      <c r="U67">
        <v>4</v>
      </c>
      <c r="V67">
        <v>0</v>
      </c>
      <c r="W67">
        <v>22.332800000000006</v>
      </c>
    </row>
    <row r="68" spans="1:23" x14ac:dyDescent="0.3">
      <c r="A68">
        <v>67</v>
      </c>
      <c r="B68" t="s">
        <v>274</v>
      </c>
      <c r="C68" s="2">
        <v>42124</v>
      </c>
      <c r="D68" s="2" t="str">
        <f>LEFT(orders[[#This Row],[Ship Date]],FIND("0",F68)-1)</f>
        <v>5</v>
      </c>
      <c r="E68" s="2" t="str">
        <f>RIGHT(orders[[#This Row],[Ship Date]],4)</f>
        <v>2015</v>
      </c>
      <c r="F68" s="4" t="s">
        <v>2029</v>
      </c>
      <c r="G68" t="s">
        <v>44</v>
      </c>
      <c r="H68" t="s">
        <v>275</v>
      </c>
      <c r="I68" t="s">
        <v>276</v>
      </c>
      <c r="J68" t="s">
        <v>93</v>
      </c>
      <c r="K68" s="5" t="s">
        <v>1906</v>
      </c>
      <c r="L68" s="5" t="str">
        <f t="shared" si="1"/>
        <v>Chicago</v>
      </c>
      <c r="M68" t="s">
        <v>192</v>
      </c>
      <c r="N68">
        <v>60610</v>
      </c>
      <c r="O68" t="s">
        <v>95</v>
      </c>
      <c r="P68" t="s">
        <v>277</v>
      </c>
      <c r="Q68" t="s">
        <v>27</v>
      </c>
      <c r="R68" t="s">
        <v>31</v>
      </c>
      <c r="S68" t="s">
        <v>278</v>
      </c>
      <c r="T68">
        <v>213.11499999999998</v>
      </c>
      <c r="U68">
        <v>5</v>
      </c>
      <c r="V68">
        <v>0.3</v>
      </c>
      <c r="W68">
        <v>-15.222500000000011</v>
      </c>
    </row>
    <row r="69" spans="1:23" x14ac:dyDescent="0.3">
      <c r="A69">
        <v>68</v>
      </c>
      <c r="B69" t="s">
        <v>279</v>
      </c>
      <c r="C69" s="2">
        <v>41978</v>
      </c>
      <c r="D69" s="2" t="str">
        <f>LEFT(orders[[#This Row],[Ship Date]],FIND("0",F69)-1)</f>
        <v>12</v>
      </c>
      <c r="E69" s="2" t="str">
        <f>RIGHT(orders[[#This Row],[Ship Date]],4)</f>
        <v>2014</v>
      </c>
      <c r="F69" s="4" t="s">
        <v>2030</v>
      </c>
      <c r="G69" t="s">
        <v>44</v>
      </c>
      <c r="H69" t="s">
        <v>280</v>
      </c>
      <c r="I69" t="s">
        <v>281</v>
      </c>
      <c r="J69" t="s">
        <v>36</v>
      </c>
      <c r="K69" s="5" t="s">
        <v>1907</v>
      </c>
      <c r="L69" s="5" t="str">
        <f t="shared" si="1"/>
        <v>Gilbert</v>
      </c>
      <c r="M69" t="s">
        <v>282</v>
      </c>
      <c r="N69">
        <v>85234</v>
      </c>
      <c r="O69" t="s">
        <v>38</v>
      </c>
      <c r="P69" t="s">
        <v>283</v>
      </c>
      <c r="Q69" t="s">
        <v>40</v>
      </c>
      <c r="R69" t="s">
        <v>61</v>
      </c>
      <c r="S69" t="s">
        <v>284</v>
      </c>
      <c r="T69">
        <v>1113.0240000000001</v>
      </c>
      <c r="U69">
        <v>8</v>
      </c>
      <c r="V69">
        <v>0.2</v>
      </c>
      <c r="W69">
        <v>111.30239999999998</v>
      </c>
    </row>
    <row r="70" spans="1:23" x14ac:dyDescent="0.3">
      <c r="A70">
        <v>69</v>
      </c>
      <c r="B70" t="s">
        <v>279</v>
      </c>
      <c r="C70" s="2">
        <v>41978</v>
      </c>
      <c r="D70" s="2" t="str">
        <f>LEFT(orders[[#This Row],[Ship Date]],FIND("0",F70)-1)</f>
        <v>12</v>
      </c>
      <c r="E70" s="2" t="str">
        <f>RIGHT(orders[[#This Row],[Ship Date]],4)</f>
        <v>2014</v>
      </c>
      <c r="F70" s="4" t="s">
        <v>2030</v>
      </c>
      <c r="G70" t="s">
        <v>44</v>
      </c>
      <c r="H70" t="s">
        <v>280</v>
      </c>
      <c r="I70" t="s">
        <v>281</v>
      </c>
      <c r="J70" t="s">
        <v>36</v>
      </c>
      <c r="K70" s="5" t="s">
        <v>1907</v>
      </c>
      <c r="L70" s="5" t="str">
        <f t="shared" si="1"/>
        <v>Gilbert</v>
      </c>
      <c r="M70" t="s">
        <v>282</v>
      </c>
      <c r="N70">
        <v>85234</v>
      </c>
      <c r="O70" t="s">
        <v>38</v>
      </c>
      <c r="P70" t="s">
        <v>285</v>
      </c>
      <c r="Q70" t="s">
        <v>64</v>
      </c>
      <c r="R70" t="s">
        <v>65</v>
      </c>
      <c r="S70" t="s">
        <v>286</v>
      </c>
      <c r="T70">
        <v>167.96800000000002</v>
      </c>
      <c r="U70">
        <v>4</v>
      </c>
      <c r="V70">
        <v>0.2</v>
      </c>
      <c r="W70">
        <v>62.988</v>
      </c>
    </row>
    <row r="71" spans="1:23" x14ac:dyDescent="0.3">
      <c r="A71">
        <v>70</v>
      </c>
      <c r="B71" t="s">
        <v>287</v>
      </c>
      <c r="C71" s="2">
        <v>42525</v>
      </c>
      <c r="D71" s="2" t="str">
        <f>LEFT(orders[[#This Row],[Ship Date]],FIND("0",F71)-1)</f>
        <v>6</v>
      </c>
      <c r="E71" s="2" t="str">
        <f>RIGHT(orders[[#This Row],[Ship Date]],4)</f>
        <v>2016</v>
      </c>
      <c r="F71" s="4" t="s">
        <v>2031</v>
      </c>
      <c r="G71" t="s">
        <v>171</v>
      </c>
      <c r="H71" t="s">
        <v>288</v>
      </c>
      <c r="I71" t="s">
        <v>289</v>
      </c>
      <c r="J71" t="s">
        <v>23</v>
      </c>
      <c r="K71" s="5" t="s">
        <v>1908</v>
      </c>
      <c r="L71" s="5" t="str">
        <f t="shared" si="1"/>
        <v>Springfield</v>
      </c>
      <c r="M71" t="s">
        <v>290</v>
      </c>
      <c r="N71">
        <v>22153</v>
      </c>
      <c r="O71" t="s">
        <v>25</v>
      </c>
      <c r="P71" t="s">
        <v>291</v>
      </c>
      <c r="Q71" t="s">
        <v>40</v>
      </c>
      <c r="R71" t="s">
        <v>82</v>
      </c>
      <c r="S71" t="s">
        <v>292</v>
      </c>
      <c r="T71">
        <v>75.88</v>
      </c>
      <c r="U71">
        <v>2</v>
      </c>
      <c r="V71">
        <v>0</v>
      </c>
      <c r="W71">
        <v>35.663599999999995</v>
      </c>
    </row>
    <row r="72" spans="1:23" x14ac:dyDescent="0.3">
      <c r="A72">
        <v>71</v>
      </c>
      <c r="B72" t="s">
        <v>293</v>
      </c>
      <c r="C72" s="2">
        <v>42631</v>
      </c>
      <c r="D72" s="2" t="str">
        <f>LEFT(orders[[#This Row],[Ship Date]],FIND("0",F72)-1)</f>
        <v>9</v>
      </c>
      <c r="E72" s="2" t="str">
        <f>RIGHT(orders[[#This Row],[Ship Date]],4)</f>
        <v>2016</v>
      </c>
      <c r="F72" s="4" t="s">
        <v>2032</v>
      </c>
      <c r="G72" t="s">
        <v>44</v>
      </c>
      <c r="H72" t="s">
        <v>294</v>
      </c>
      <c r="I72" t="s">
        <v>295</v>
      </c>
      <c r="J72" t="s">
        <v>23</v>
      </c>
      <c r="K72" s="5" t="s">
        <v>1904</v>
      </c>
      <c r="L72" s="5" t="str">
        <f t="shared" si="1"/>
        <v>New York City</v>
      </c>
      <c r="M72" t="s">
        <v>242</v>
      </c>
      <c r="N72">
        <v>10009</v>
      </c>
      <c r="O72" t="s">
        <v>133</v>
      </c>
      <c r="P72" t="s">
        <v>296</v>
      </c>
      <c r="Q72" t="s">
        <v>40</v>
      </c>
      <c r="R72" t="s">
        <v>68</v>
      </c>
      <c r="S72" t="s">
        <v>297</v>
      </c>
      <c r="T72">
        <v>4.6159999999999997</v>
      </c>
      <c r="U72">
        <v>1</v>
      </c>
      <c r="V72">
        <v>0.2</v>
      </c>
      <c r="W72">
        <v>1.7309999999999999</v>
      </c>
    </row>
    <row r="73" spans="1:23" x14ac:dyDescent="0.3">
      <c r="A73">
        <v>72</v>
      </c>
      <c r="B73" t="s">
        <v>298</v>
      </c>
      <c r="C73" s="2">
        <v>42992</v>
      </c>
      <c r="D73" s="2" t="str">
        <f>LEFT(orders[[#This Row],[Ship Date]],FIND("0",F73)-1)</f>
        <v>9</v>
      </c>
      <c r="E73" s="2" t="str">
        <f>RIGHT(orders[[#This Row],[Ship Date]],4)</f>
        <v>2017</v>
      </c>
      <c r="F73" s="4" t="s">
        <v>2033</v>
      </c>
      <c r="G73" t="s">
        <v>20</v>
      </c>
      <c r="H73" t="s">
        <v>148</v>
      </c>
      <c r="I73" t="s">
        <v>149</v>
      </c>
      <c r="J73" t="s">
        <v>23</v>
      </c>
      <c r="K73" s="5" t="s">
        <v>1909</v>
      </c>
      <c r="L73" s="5" t="str">
        <f t="shared" si="1"/>
        <v>Jackson</v>
      </c>
      <c r="M73" t="s">
        <v>216</v>
      </c>
      <c r="N73">
        <v>49201</v>
      </c>
      <c r="O73" t="s">
        <v>95</v>
      </c>
      <c r="P73" t="s">
        <v>299</v>
      </c>
      <c r="Q73" t="s">
        <v>40</v>
      </c>
      <c r="R73" t="s">
        <v>82</v>
      </c>
      <c r="S73" t="s">
        <v>300</v>
      </c>
      <c r="T73">
        <v>19.049999999999997</v>
      </c>
      <c r="U73">
        <v>3</v>
      </c>
      <c r="V73">
        <v>0</v>
      </c>
      <c r="W73">
        <v>8.7629999999999999</v>
      </c>
    </row>
    <row r="74" spans="1:23" x14ac:dyDescent="0.3">
      <c r="A74">
        <v>73</v>
      </c>
      <c r="B74" t="s">
        <v>301</v>
      </c>
      <c r="C74" s="2">
        <v>42120</v>
      </c>
      <c r="D74" s="2" t="str">
        <f>LEFT(orders[[#This Row],[Ship Date]],FIND("0",F74)-1)</f>
        <v>5</v>
      </c>
      <c r="E74" s="2" t="str">
        <f>RIGHT(orders[[#This Row],[Ship Date]],4)</f>
        <v>2015</v>
      </c>
      <c r="F74" s="4" t="s">
        <v>2034</v>
      </c>
      <c r="G74" t="s">
        <v>44</v>
      </c>
      <c r="H74" t="s">
        <v>302</v>
      </c>
      <c r="I74" t="s">
        <v>303</v>
      </c>
      <c r="J74" t="s">
        <v>23</v>
      </c>
      <c r="K74" s="5" t="s">
        <v>1910</v>
      </c>
      <c r="L74" s="5" t="str">
        <f t="shared" si="1"/>
        <v>Memphis</v>
      </c>
      <c r="M74" t="s">
        <v>304</v>
      </c>
      <c r="N74">
        <v>38109</v>
      </c>
      <c r="O74" t="s">
        <v>25</v>
      </c>
      <c r="P74" t="s">
        <v>305</v>
      </c>
      <c r="Q74" t="s">
        <v>27</v>
      </c>
      <c r="R74" t="s">
        <v>31</v>
      </c>
      <c r="S74" t="s">
        <v>306</v>
      </c>
      <c r="T74">
        <v>831.93600000000015</v>
      </c>
      <c r="U74">
        <v>8</v>
      </c>
      <c r="V74">
        <v>0.2</v>
      </c>
      <c r="W74">
        <v>-114.39120000000003</v>
      </c>
    </row>
    <row r="75" spans="1:23" x14ac:dyDescent="0.3">
      <c r="A75">
        <v>74</v>
      </c>
      <c r="B75" t="s">
        <v>301</v>
      </c>
      <c r="C75" s="2">
        <v>42120</v>
      </c>
      <c r="D75" s="2" t="str">
        <f>LEFT(orders[[#This Row],[Ship Date]],FIND("0",F75)-1)</f>
        <v>5</v>
      </c>
      <c r="E75" s="2" t="str">
        <f>RIGHT(orders[[#This Row],[Ship Date]],4)</f>
        <v>2015</v>
      </c>
      <c r="F75" s="4" t="s">
        <v>2034</v>
      </c>
      <c r="G75" t="s">
        <v>44</v>
      </c>
      <c r="H75" t="s">
        <v>302</v>
      </c>
      <c r="I75" t="s">
        <v>303</v>
      </c>
      <c r="J75" t="s">
        <v>23</v>
      </c>
      <c r="K75" s="5" t="s">
        <v>1910</v>
      </c>
      <c r="L75" s="5" t="str">
        <f t="shared" si="1"/>
        <v>Memphis</v>
      </c>
      <c r="M75" t="s">
        <v>304</v>
      </c>
      <c r="N75">
        <v>38109</v>
      </c>
      <c r="O75" t="s">
        <v>25</v>
      </c>
      <c r="P75" t="s">
        <v>307</v>
      </c>
      <c r="Q75" t="s">
        <v>27</v>
      </c>
      <c r="R75" t="s">
        <v>58</v>
      </c>
      <c r="S75" t="s">
        <v>308</v>
      </c>
      <c r="T75">
        <v>97.04</v>
      </c>
      <c r="U75">
        <v>2</v>
      </c>
      <c r="V75">
        <v>0.2</v>
      </c>
      <c r="W75">
        <v>1.2129999999999974</v>
      </c>
    </row>
    <row r="76" spans="1:23" x14ac:dyDescent="0.3">
      <c r="A76">
        <v>75</v>
      </c>
      <c r="B76" t="s">
        <v>301</v>
      </c>
      <c r="C76" s="2">
        <v>42120</v>
      </c>
      <c r="D76" s="2" t="str">
        <f>LEFT(orders[[#This Row],[Ship Date]],FIND("0",F76)-1)</f>
        <v>5</v>
      </c>
      <c r="E76" s="2" t="str">
        <f>RIGHT(orders[[#This Row],[Ship Date]],4)</f>
        <v>2015</v>
      </c>
      <c r="F76" s="4" t="s">
        <v>2034</v>
      </c>
      <c r="G76" t="s">
        <v>44</v>
      </c>
      <c r="H76" t="s">
        <v>302</v>
      </c>
      <c r="I76" t="s">
        <v>303</v>
      </c>
      <c r="J76" t="s">
        <v>23</v>
      </c>
      <c r="K76" s="5" t="s">
        <v>1910</v>
      </c>
      <c r="L76" s="5" t="str">
        <f t="shared" si="1"/>
        <v>Memphis</v>
      </c>
      <c r="M76" t="s">
        <v>304</v>
      </c>
      <c r="N76">
        <v>38109</v>
      </c>
      <c r="O76" t="s">
        <v>25</v>
      </c>
      <c r="P76" t="s">
        <v>309</v>
      </c>
      <c r="Q76" t="s">
        <v>40</v>
      </c>
      <c r="R76" t="s">
        <v>52</v>
      </c>
      <c r="S76" t="s">
        <v>310</v>
      </c>
      <c r="T76">
        <v>72.784000000000006</v>
      </c>
      <c r="U76">
        <v>1</v>
      </c>
      <c r="V76">
        <v>0.2</v>
      </c>
      <c r="W76">
        <v>-18.196000000000002</v>
      </c>
    </row>
    <row r="77" spans="1:23" x14ac:dyDescent="0.3">
      <c r="A77">
        <v>76</v>
      </c>
      <c r="B77" t="s">
        <v>311</v>
      </c>
      <c r="C77" s="2">
        <v>43078</v>
      </c>
      <c r="D77" s="2" t="str">
        <f>LEFT(orders[[#This Row],[Ship Date]],FIND("0",F77)-1)</f>
        <v>12</v>
      </c>
      <c r="E77" s="2" t="str">
        <f>RIGHT(orders[[#This Row],[Ship Date]],4)</f>
        <v>2017</v>
      </c>
      <c r="F77" s="4" t="s">
        <v>2035</v>
      </c>
      <c r="G77" t="s">
        <v>171</v>
      </c>
      <c r="H77" t="s">
        <v>312</v>
      </c>
      <c r="I77" t="s">
        <v>313</v>
      </c>
      <c r="J77" t="s">
        <v>36</v>
      </c>
      <c r="K77" s="5" t="s">
        <v>1896</v>
      </c>
      <c r="L77" s="5" t="str">
        <f t="shared" si="1"/>
        <v>Houston</v>
      </c>
      <c r="M77" t="s">
        <v>94</v>
      </c>
      <c r="N77">
        <v>77041</v>
      </c>
      <c r="O77" t="s">
        <v>95</v>
      </c>
      <c r="P77" t="s">
        <v>314</v>
      </c>
      <c r="Q77" t="s">
        <v>40</v>
      </c>
      <c r="R77" t="s">
        <v>68</v>
      </c>
      <c r="S77" t="s">
        <v>315</v>
      </c>
      <c r="T77">
        <v>1.2479999999999998</v>
      </c>
      <c r="U77">
        <v>3</v>
      </c>
      <c r="V77">
        <v>0.8</v>
      </c>
      <c r="W77">
        <v>-1.9344000000000006</v>
      </c>
    </row>
    <row r="78" spans="1:23" x14ac:dyDescent="0.3">
      <c r="A78">
        <v>77</v>
      </c>
      <c r="B78" t="s">
        <v>311</v>
      </c>
      <c r="C78" s="2">
        <v>43078</v>
      </c>
      <c r="D78" s="2" t="str">
        <f>LEFT(orders[[#This Row],[Ship Date]],FIND("0",F78)-1)</f>
        <v>12</v>
      </c>
      <c r="E78" s="2" t="str">
        <f>RIGHT(orders[[#This Row],[Ship Date]],4)</f>
        <v>2017</v>
      </c>
      <c r="F78" s="4" t="s">
        <v>2035</v>
      </c>
      <c r="G78" t="s">
        <v>171</v>
      </c>
      <c r="H78" t="s">
        <v>312</v>
      </c>
      <c r="I78" t="s">
        <v>313</v>
      </c>
      <c r="J78" t="s">
        <v>36</v>
      </c>
      <c r="K78" s="5" t="s">
        <v>1896</v>
      </c>
      <c r="L78" s="5" t="str">
        <f t="shared" si="1"/>
        <v>Houston</v>
      </c>
      <c r="M78" t="s">
        <v>94</v>
      </c>
      <c r="N78">
        <v>77041</v>
      </c>
      <c r="O78" t="s">
        <v>95</v>
      </c>
      <c r="P78" t="s">
        <v>316</v>
      </c>
      <c r="Q78" t="s">
        <v>27</v>
      </c>
      <c r="R78" t="s">
        <v>58</v>
      </c>
      <c r="S78" t="s">
        <v>317</v>
      </c>
      <c r="T78">
        <v>9.7080000000000002</v>
      </c>
      <c r="U78">
        <v>3</v>
      </c>
      <c r="V78">
        <v>0.6</v>
      </c>
      <c r="W78">
        <v>-5.8248000000000015</v>
      </c>
    </row>
    <row r="79" spans="1:23" x14ac:dyDescent="0.3">
      <c r="A79">
        <v>78</v>
      </c>
      <c r="B79" t="s">
        <v>311</v>
      </c>
      <c r="C79" s="2">
        <v>43078</v>
      </c>
      <c r="D79" s="2" t="str">
        <f>LEFT(orders[[#This Row],[Ship Date]],FIND("0",F79)-1)</f>
        <v>12</v>
      </c>
      <c r="E79" s="2" t="str">
        <f>RIGHT(orders[[#This Row],[Ship Date]],4)</f>
        <v>2017</v>
      </c>
      <c r="F79" s="4" t="s">
        <v>2035</v>
      </c>
      <c r="G79" t="s">
        <v>171</v>
      </c>
      <c r="H79" t="s">
        <v>312</v>
      </c>
      <c r="I79" t="s">
        <v>313</v>
      </c>
      <c r="J79" t="s">
        <v>36</v>
      </c>
      <c r="K79" s="5" t="s">
        <v>1896</v>
      </c>
      <c r="L79" s="5" t="str">
        <f t="shared" si="1"/>
        <v>Houston</v>
      </c>
      <c r="M79" t="s">
        <v>94</v>
      </c>
      <c r="N79">
        <v>77041</v>
      </c>
      <c r="O79" t="s">
        <v>95</v>
      </c>
      <c r="P79" t="s">
        <v>318</v>
      </c>
      <c r="Q79" t="s">
        <v>40</v>
      </c>
      <c r="R79" t="s">
        <v>52</v>
      </c>
      <c r="S79" t="s">
        <v>319</v>
      </c>
      <c r="T79">
        <v>27.240000000000002</v>
      </c>
      <c r="U79">
        <v>3</v>
      </c>
      <c r="V79">
        <v>0.2</v>
      </c>
      <c r="W79">
        <v>2.724000000000002</v>
      </c>
    </row>
    <row r="80" spans="1:23" x14ac:dyDescent="0.3">
      <c r="A80">
        <v>79</v>
      </c>
      <c r="B80" t="s">
        <v>320</v>
      </c>
      <c r="C80" s="2">
        <v>41969</v>
      </c>
      <c r="D80" s="2" t="str">
        <f>LEFT(orders[[#This Row],[Ship Date]],FIND("0",F80)-1)</f>
        <v>12</v>
      </c>
      <c r="E80" s="2" t="str">
        <f>RIGHT(orders[[#This Row],[Ship Date]],4)</f>
        <v>2014</v>
      </c>
      <c r="F80" s="4" t="s">
        <v>2036</v>
      </c>
      <c r="G80" t="s">
        <v>20</v>
      </c>
      <c r="H80" t="s">
        <v>302</v>
      </c>
      <c r="I80" t="s">
        <v>303</v>
      </c>
      <c r="J80" t="s">
        <v>23</v>
      </c>
      <c r="K80" s="5" t="s">
        <v>1896</v>
      </c>
      <c r="L80" s="5" t="str">
        <f t="shared" si="1"/>
        <v>Houston</v>
      </c>
      <c r="M80" t="s">
        <v>94</v>
      </c>
      <c r="N80">
        <v>77070</v>
      </c>
      <c r="O80" t="s">
        <v>95</v>
      </c>
      <c r="P80" t="s">
        <v>321</v>
      </c>
      <c r="Q80" t="s">
        <v>27</v>
      </c>
      <c r="R80" t="s">
        <v>58</v>
      </c>
      <c r="S80" t="s">
        <v>322</v>
      </c>
      <c r="T80">
        <v>19.3</v>
      </c>
      <c r="U80">
        <v>5</v>
      </c>
      <c r="V80">
        <v>0.6</v>
      </c>
      <c r="W80">
        <v>-14.475000000000001</v>
      </c>
    </row>
    <row r="81" spans="1:23" x14ac:dyDescent="0.3">
      <c r="A81">
        <v>80</v>
      </c>
      <c r="B81" t="s">
        <v>323</v>
      </c>
      <c r="C81" s="2">
        <v>42533</v>
      </c>
      <c r="D81" s="2" t="str">
        <f>LEFT(orders[[#This Row],[Ship Date]],FIND("0",F81)-1)</f>
        <v>6</v>
      </c>
      <c r="E81" s="2" t="str">
        <f>RIGHT(orders[[#This Row],[Ship Date]],4)</f>
        <v>2016</v>
      </c>
      <c r="F81" s="4" t="s">
        <v>2037</v>
      </c>
      <c r="G81" t="s">
        <v>171</v>
      </c>
      <c r="H81" t="s">
        <v>324</v>
      </c>
      <c r="I81" t="s">
        <v>325</v>
      </c>
      <c r="J81" t="s">
        <v>36</v>
      </c>
      <c r="K81" s="5" t="s">
        <v>1911</v>
      </c>
      <c r="L81" s="5" t="str">
        <f t="shared" si="1"/>
        <v>Decatur</v>
      </c>
      <c r="M81" t="s">
        <v>326</v>
      </c>
      <c r="N81">
        <v>35601</v>
      </c>
      <c r="O81" t="s">
        <v>25</v>
      </c>
      <c r="P81" t="s">
        <v>327</v>
      </c>
      <c r="Q81" t="s">
        <v>40</v>
      </c>
      <c r="R81" t="s">
        <v>71</v>
      </c>
      <c r="S81" t="s">
        <v>328</v>
      </c>
      <c r="T81">
        <v>208.16</v>
      </c>
      <c r="U81">
        <v>1</v>
      </c>
      <c r="V81">
        <v>0</v>
      </c>
      <c r="W81">
        <v>56.20320000000001</v>
      </c>
    </row>
    <row r="82" spans="1:23" x14ac:dyDescent="0.3">
      <c r="A82">
        <v>81</v>
      </c>
      <c r="B82" t="s">
        <v>323</v>
      </c>
      <c r="C82" s="2">
        <v>42533</v>
      </c>
      <c r="D82" s="2" t="str">
        <f>LEFT(orders[[#This Row],[Ship Date]],FIND("0",F82)-1)</f>
        <v>6</v>
      </c>
      <c r="E82" s="2" t="str">
        <f>RIGHT(orders[[#This Row],[Ship Date]],4)</f>
        <v>2016</v>
      </c>
      <c r="F82" s="4" t="s">
        <v>2037</v>
      </c>
      <c r="G82" t="s">
        <v>171</v>
      </c>
      <c r="H82" t="s">
        <v>324</v>
      </c>
      <c r="I82" t="s">
        <v>325</v>
      </c>
      <c r="J82" t="s">
        <v>36</v>
      </c>
      <c r="K82" s="5" t="s">
        <v>1911</v>
      </c>
      <c r="L82" s="5" t="str">
        <f t="shared" si="1"/>
        <v>Decatur</v>
      </c>
      <c r="M82" t="s">
        <v>326</v>
      </c>
      <c r="N82">
        <v>35601</v>
      </c>
      <c r="O82" t="s">
        <v>25</v>
      </c>
      <c r="P82" t="s">
        <v>329</v>
      </c>
      <c r="Q82" t="s">
        <v>40</v>
      </c>
      <c r="R82" t="s">
        <v>68</v>
      </c>
      <c r="S82" t="s">
        <v>330</v>
      </c>
      <c r="T82">
        <v>16.740000000000002</v>
      </c>
      <c r="U82">
        <v>3</v>
      </c>
      <c r="V82">
        <v>0</v>
      </c>
      <c r="W82">
        <v>8.0351999999999997</v>
      </c>
    </row>
    <row r="83" spans="1:23" x14ac:dyDescent="0.3">
      <c r="A83">
        <v>82</v>
      </c>
      <c r="B83" t="s">
        <v>331</v>
      </c>
      <c r="C83" s="2">
        <v>41924</v>
      </c>
      <c r="D83" s="2" t="str">
        <f>LEFT(orders[[#This Row],[Ship Date]],FIND("0",F83)-1)</f>
        <v>1</v>
      </c>
      <c r="E83" s="2" t="str">
        <f>RIGHT(orders[[#This Row],[Ship Date]],4)</f>
        <v>2014</v>
      </c>
      <c r="F83" s="4" t="s">
        <v>2038</v>
      </c>
      <c r="G83" t="s">
        <v>44</v>
      </c>
      <c r="H83" t="s">
        <v>332</v>
      </c>
      <c r="I83" t="s">
        <v>333</v>
      </c>
      <c r="J83" t="s">
        <v>23</v>
      </c>
      <c r="K83" s="5" t="s">
        <v>1892</v>
      </c>
      <c r="L83" s="5" t="str">
        <f t="shared" si="1"/>
        <v>San Francisco</v>
      </c>
      <c r="M83" t="s">
        <v>37</v>
      </c>
      <c r="N83">
        <v>94122</v>
      </c>
      <c r="O83" t="s">
        <v>38</v>
      </c>
      <c r="P83" t="s">
        <v>334</v>
      </c>
      <c r="Q83" t="s">
        <v>40</v>
      </c>
      <c r="R83" t="s">
        <v>61</v>
      </c>
      <c r="S83" t="s">
        <v>335</v>
      </c>
      <c r="T83">
        <v>14.9</v>
      </c>
      <c r="U83">
        <v>5</v>
      </c>
      <c r="V83">
        <v>0</v>
      </c>
      <c r="W83">
        <v>4.1720000000000006</v>
      </c>
    </row>
    <row r="84" spans="1:23" x14ac:dyDescent="0.3">
      <c r="A84">
        <v>83</v>
      </c>
      <c r="B84" t="s">
        <v>331</v>
      </c>
      <c r="C84" s="2">
        <v>41924</v>
      </c>
      <c r="D84" s="2" t="str">
        <f>LEFT(orders[[#This Row],[Ship Date]],FIND("0",F84)-1)</f>
        <v>1</v>
      </c>
      <c r="E84" s="2" t="str">
        <f>RIGHT(orders[[#This Row],[Ship Date]],4)</f>
        <v>2014</v>
      </c>
      <c r="F84" s="4" t="s">
        <v>2038</v>
      </c>
      <c r="G84" t="s">
        <v>44</v>
      </c>
      <c r="H84" t="s">
        <v>332</v>
      </c>
      <c r="I84" t="s">
        <v>333</v>
      </c>
      <c r="J84" t="s">
        <v>23</v>
      </c>
      <c r="K84" s="5" t="s">
        <v>1892</v>
      </c>
      <c r="L84" s="5" t="str">
        <f t="shared" si="1"/>
        <v>San Francisco</v>
      </c>
      <c r="M84" t="s">
        <v>37</v>
      </c>
      <c r="N84">
        <v>94122</v>
      </c>
      <c r="O84" t="s">
        <v>38</v>
      </c>
      <c r="P84" t="s">
        <v>336</v>
      </c>
      <c r="Q84" t="s">
        <v>40</v>
      </c>
      <c r="R84" t="s">
        <v>52</v>
      </c>
      <c r="S84" t="s">
        <v>337</v>
      </c>
      <c r="T84">
        <v>21.39</v>
      </c>
      <c r="U84">
        <v>1</v>
      </c>
      <c r="V84">
        <v>0</v>
      </c>
      <c r="W84">
        <v>6.2030999999999992</v>
      </c>
    </row>
    <row r="85" spans="1:23" x14ac:dyDescent="0.3">
      <c r="A85">
        <v>84</v>
      </c>
      <c r="B85" t="s">
        <v>338</v>
      </c>
      <c r="C85" s="2">
        <v>42250</v>
      </c>
      <c r="D85" s="2" t="str">
        <f>LEFT(orders[[#This Row],[Ship Date]],FIND("0",F85)-1)</f>
        <v>9</v>
      </c>
      <c r="E85" s="2" t="str">
        <f>RIGHT(orders[[#This Row],[Ship Date]],4)</f>
        <v>2015</v>
      </c>
      <c r="F85" s="4" t="s">
        <v>2039</v>
      </c>
      <c r="G85" t="s">
        <v>44</v>
      </c>
      <c r="H85" t="s">
        <v>339</v>
      </c>
      <c r="I85" t="s">
        <v>340</v>
      </c>
      <c r="J85" t="s">
        <v>36</v>
      </c>
      <c r="K85" s="5" t="s">
        <v>1912</v>
      </c>
      <c r="L85" s="5" t="str">
        <f t="shared" si="1"/>
        <v>Durham</v>
      </c>
      <c r="M85" t="s">
        <v>80</v>
      </c>
      <c r="N85">
        <v>27707</v>
      </c>
      <c r="O85" t="s">
        <v>25</v>
      </c>
      <c r="P85" t="s">
        <v>341</v>
      </c>
      <c r="Q85" t="s">
        <v>40</v>
      </c>
      <c r="R85" t="s">
        <v>157</v>
      </c>
      <c r="S85" t="s">
        <v>342</v>
      </c>
      <c r="T85">
        <v>200.98400000000004</v>
      </c>
      <c r="U85">
        <v>7</v>
      </c>
      <c r="V85">
        <v>0.2</v>
      </c>
      <c r="W85">
        <v>62.807499999999976</v>
      </c>
    </row>
    <row r="86" spans="1:23" x14ac:dyDescent="0.3">
      <c r="A86">
        <v>85</v>
      </c>
      <c r="B86" t="s">
        <v>343</v>
      </c>
      <c r="C86" s="2">
        <v>43052</v>
      </c>
      <c r="D86" s="2" t="str">
        <f>LEFT(orders[[#This Row],[Ship Date]],FIND("0",F86)-1)</f>
        <v>11</v>
      </c>
      <c r="E86" s="2" t="str">
        <f>RIGHT(orders[[#This Row],[Ship Date]],4)</f>
        <v>2017</v>
      </c>
      <c r="F86" s="4" t="s">
        <v>2040</v>
      </c>
      <c r="G86" t="s">
        <v>171</v>
      </c>
      <c r="H86" t="s">
        <v>344</v>
      </c>
      <c r="I86" t="s">
        <v>345</v>
      </c>
      <c r="J86" t="s">
        <v>93</v>
      </c>
      <c r="K86" s="5" t="s">
        <v>1906</v>
      </c>
      <c r="L86" s="5" t="str">
        <f t="shared" si="1"/>
        <v>Chicago</v>
      </c>
      <c r="M86" t="s">
        <v>192</v>
      </c>
      <c r="N86">
        <v>60623</v>
      </c>
      <c r="O86" t="s">
        <v>95</v>
      </c>
      <c r="P86" t="s">
        <v>346</v>
      </c>
      <c r="Q86" t="s">
        <v>40</v>
      </c>
      <c r="R86" t="s">
        <v>52</v>
      </c>
      <c r="S86" t="s">
        <v>347</v>
      </c>
      <c r="T86">
        <v>230.376</v>
      </c>
      <c r="U86">
        <v>3</v>
      </c>
      <c r="V86">
        <v>0.2</v>
      </c>
      <c r="W86">
        <v>-48.954900000000002</v>
      </c>
    </row>
    <row r="87" spans="1:23" x14ac:dyDescent="0.3">
      <c r="A87">
        <v>86</v>
      </c>
      <c r="B87" t="s">
        <v>348</v>
      </c>
      <c r="C87" s="2">
        <v>42883</v>
      </c>
      <c r="D87" s="2" t="str">
        <f>LEFT(orders[[#This Row],[Ship Date]],FIND("0",F87)-1)</f>
        <v>5</v>
      </c>
      <c r="E87" s="2" t="str">
        <f>RIGHT(orders[[#This Row],[Ship Date]],4)</f>
        <v>2017</v>
      </c>
      <c r="F87" s="4" t="s">
        <v>2041</v>
      </c>
      <c r="G87" t="s">
        <v>20</v>
      </c>
      <c r="H87" t="s">
        <v>214</v>
      </c>
      <c r="I87" t="s">
        <v>215</v>
      </c>
      <c r="J87" t="s">
        <v>23</v>
      </c>
      <c r="K87" s="5" t="s">
        <v>1913</v>
      </c>
      <c r="L87" s="5" t="str">
        <f t="shared" si="1"/>
        <v>Columbia</v>
      </c>
      <c r="M87" t="s">
        <v>349</v>
      </c>
      <c r="N87">
        <v>29203</v>
      </c>
      <c r="O87" t="s">
        <v>25</v>
      </c>
      <c r="P87" t="s">
        <v>350</v>
      </c>
      <c r="Q87" t="s">
        <v>27</v>
      </c>
      <c r="R87" t="s">
        <v>31</v>
      </c>
      <c r="S87" t="s">
        <v>351</v>
      </c>
      <c r="T87">
        <v>301.95999999999998</v>
      </c>
      <c r="U87">
        <v>2</v>
      </c>
      <c r="V87">
        <v>0</v>
      </c>
      <c r="W87">
        <v>33.215599999999995</v>
      </c>
    </row>
    <row r="88" spans="1:23" x14ac:dyDescent="0.3">
      <c r="A88">
        <v>87</v>
      </c>
      <c r="B88" t="s">
        <v>352</v>
      </c>
      <c r="C88" s="2">
        <v>43034</v>
      </c>
      <c r="D88" s="2" t="str">
        <f>LEFT(orders[[#This Row],[Ship Date]],FIND("0",F88)-1)</f>
        <v>11</v>
      </c>
      <c r="E88" s="2" t="str">
        <f>RIGHT(orders[[#This Row],[Ship Date]],4)</f>
        <v>2017</v>
      </c>
      <c r="F88" s="4" t="s">
        <v>2042</v>
      </c>
      <c r="G88" t="s">
        <v>44</v>
      </c>
      <c r="H88" t="s">
        <v>353</v>
      </c>
      <c r="I88" t="s">
        <v>354</v>
      </c>
      <c r="J88" t="s">
        <v>23</v>
      </c>
      <c r="K88" s="5" t="s">
        <v>1914</v>
      </c>
      <c r="L88" s="5" t="str">
        <f t="shared" si="1"/>
        <v>Rochester</v>
      </c>
      <c r="M88" t="s">
        <v>208</v>
      </c>
      <c r="N88">
        <v>55901</v>
      </c>
      <c r="O88" t="s">
        <v>95</v>
      </c>
      <c r="P88" t="s">
        <v>355</v>
      </c>
      <c r="Q88" t="s">
        <v>64</v>
      </c>
      <c r="R88" t="s">
        <v>145</v>
      </c>
      <c r="S88" t="s">
        <v>356</v>
      </c>
      <c r="T88">
        <v>19.989999999999998</v>
      </c>
      <c r="U88">
        <v>1</v>
      </c>
      <c r="V88">
        <v>0</v>
      </c>
      <c r="W88">
        <v>6.796599999999998</v>
      </c>
    </row>
    <row r="89" spans="1:23" x14ac:dyDescent="0.3">
      <c r="A89">
        <v>88</v>
      </c>
      <c r="B89" t="s">
        <v>352</v>
      </c>
      <c r="C89" s="2">
        <v>43034</v>
      </c>
      <c r="D89" s="2" t="str">
        <f>LEFT(orders[[#This Row],[Ship Date]],FIND("0",F89)-1)</f>
        <v>11</v>
      </c>
      <c r="E89" s="2" t="str">
        <f>RIGHT(orders[[#This Row],[Ship Date]],4)</f>
        <v>2017</v>
      </c>
      <c r="F89" s="4" t="s">
        <v>2042</v>
      </c>
      <c r="G89" t="s">
        <v>44</v>
      </c>
      <c r="H89" t="s">
        <v>353</v>
      </c>
      <c r="I89" t="s">
        <v>354</v>
      </c>
      <c r="J89" t="s">
        <v>23</v>
      </c>
      <c r="K89" s="5" t="s">
        <v>1914</v>
      </c>
      <c r="L89" s="5" t="str">
        <f t="shared" si="1"/>
        <v>Rochester</v>
      </c>
      <c r="M89" t="s">
        <v>208</v>
      </c>
      <c r="N89">
        <v>55901</v>
      </c>
      <c r="O89" t="s">
        <v>95</v>
      </c>
      <c r="P89" t="s">
        <v>357</v>
      </c>
      <c r="Q89" t="s">
        <v>40</v>
      </c>
      <c r="R89" t="s">
        <v>41</v>
      </c>
      <c r="S89" t="s">
        <v>358</v>
      </c>
      <c r="T89">
        <v>6.16</v>
      </c>
      <c r="U89">
        <v>2</v>
      </c>
      <c r="V89">
        <v>0</v>
      </c>
      <c r="W89">
        <v>2.9567999999999999</v>
      </c>
    </row>
    <row r="90" spans="1:23" x14ac:dyDescent="0.3">
      <c r="A90">
        <v>89</v>
      </c>
      <c r="B90" t="s">
        <v>359</v>
      </c>
      <c r="C90" s="2">
        <v>42465</v>
      </c>
      <c r="D90" s="2" t="str">
        <f>LEFT(orders[[#This Row],[Ship Date]],FIND("0",F90)-1)</f>
        <v>4</v>
      </c>
      <c r="E90" s="2" t="str">
        <f>RIGHT(orders[[#This Row],[Ship Date]],4)</f>
        <v>2016</v>
      </c>
      <c r="F90" s="4" t="s">
        <v>2043</v>
      </c>
      <c r="G90" t="s">
        <v>20</v>
      </c>
      <c r="H90" t="s">
        <v>360</v>
      </c>
      <c r="I90" t="s">
        <v>361</v>
      </c>
      <c r="J90" t="s">
        <v>93</v>
      </c>
      <c r="K90" s="5" t="s">
        <v>1896</v>
      </c>
      <c r="L90" s="5" t="str">
        <f t="shared" si="1"/>
        <v>Houston</v>
      </c>
      <c r="M90" t="s">
        <v>94</v>
      </c>
      <c r="N90">
        <v>77095</v>
      </c>
      <c r="O90" t="s">
        <v>95</v>
      </c>
      <c r="P90" t="s">
        <v>362</v>
      </c>
      <c r="Q90" t="s">
        <v>40</v>
      </c>
      <c r="R90" t="s">
        <v>52</v>
      </c>
      <c r="S90" t="s">
        <v>363</v>
      </c>
      <c r="T90">
        <v>158.36800000000002</v>
      </c>
      <c r="U90">
        <v>7</v>
      </c>
      <c r="V90">
        <v>0.2</v>
      </c>
      <c r="W90">
        <v>13.857199999999999</v>
      </c>
    </row>
    <row r="91" spans="1:23" x14ac:dyDescent="0.3">
      <c r="A91">
        <v>90</v>
      </c>
      <c r="B91" t="s">
        <v>364</v>
      </c>
      <c r="C91" s="2">
        <v>42630</v>
      </c>
      <c r="D91" s="2" t="str">
        <f>LEFT(orders[[#This Row],[Ship Date]],FIND("0",F91)-1)</f>
        <v>9</v>
      </c>
      <c r="E91" s="2" t="str">
        <f>RIGHT(orders[[#This Row],[Ship Date]],4)</f>
        <v>2016</v>
      </c>
      <c r="F91" s="4" t="s">
        <v>2044</v>
      </c>
      <c r="G91" t="s">
        <v>44</v>
      </c>
      <c r="H91" t="s">
        <v>365</v>
      </c>
      <c r="I91" t="s">
        <v>366</v>
      </c>
      <c r="J91" t="s">
        <v>36</v>
      </c>
      <c r="K91" s="5" t="s">
        <v>1885</v>
      </c>
      <c r="L91" s="5" t="str">
        <f t="shared" si="1"/>
        <v>Los Angeles</v>
      </c>
      <c r="M91" t="s">
        <v>37</v>
      </c>
      <c r="N91">
        <v>90036</v>
      </c>
      <c r="O91" t="s">
        <v>38</v>
      </c>
      <c r="P91" t="s">
        <v>367</v>
      </c>
      <c r="Q91" t="s">
        <v>40</v>
      </c>
      <c r="R91" t="s">
        <v>61</v>
      </c>
      <c r="S91" t="s">
        <v>368</v>
      </c>
      <c r="T91">
        <v>20.100000000000001</v>
      </c>
      <c r="U91">
        <v>3</v>
      </c>
      <c r="V91">
        <v>0</v>
      </c>
      <c r="W91">
        <v>6.6329999999999982</v>
      </c>
    </row>
    <row r="92" spans="1:23" x14ac:dyDescent="0.3">
      <c r="A92">
        <v>91</v>
      </c>
      <c r="B92" t="s">
        <v>364</v>
      </c>
      <c r="C92" s="2">
        <v>42630</v>
      </c>
      <c r="D92" s="2" t="str">
        <f>LEFT(orders[[#This Row],[Ship Date]],FIND("0",F92)-1)</f>
        <v>9</v>
      </c>
      <c r="E92" s="2" t="str">
        <f>RIGHT(orders[[#This Row],[Ship Date]],4)</f>
        <v>2016</v>
      </c>
      <c r="F92" s="4" t="s">
        <v>2044</v>
      </c>
      <c r="G92" t="s">
        <v>44</v>
      </c>
      <c r="H92" t="s">
        <v>365</v>
      </c>
      <c r="I92" t="s">
        <v>366</v>
      </c>
      <c r="J92" t="s">
        <v>36</v>
      </c>
      <c r="K92" s="5" t="s">
        <v>1885</v>
      </c>
      <c r="L92" s="5" t="str">
        <f t="shared" si="1"/>
        <v>Los Angeles</v>
      </c>
      <c r="M92" t="s">
        <v>37</v>
      </c>
      <c r="N92">
        <v>90036</v>
      </c>
      <c r="O92" t="s">
        <v>38</v>
      </c>
      <c r="P92" t="s">
        <v>193</v>
      </c>
      <c r="Q92" t="s">
        <v>64</v>
      </c>
      <c r="R92" t="s">
        <v>65</v>
      </c>
      <c r="S92" t="s">
        <v>194</v>
      </c>
      <c r="T92">
        <v>73.584000000000003</v>
      </c>
      <c r="U92">
        <v>2</v>
      </c>
      <c r="V92">
        <v>0.2</v>
      </c>
      <c r="W92">
        <v>8.2781999999999982</v>
      </c>
    </row>
    <row r="93" spans="1:23" x14ac:dyDescent="0.3">
      <c r="A93">
        <v>92</v>
      </c>
      <c r="B93" t="s">
        <v>364</v>
      </c>
      <c r="C93" s="2">
        <v>42630</v>
      </c>
      <c r="D93" s="2" t="str">
        <f>LEFT(orders[[#This Row],[Ship Date]],FIND("0",F93)-1)</f>
        <v>9</v>
      </c>
      <c r="E93" s="2" t="str">
        <f>RIGHT(orders[[#This Row],[Ship Date]],4)</f>
        <v>2016</v>
      </c>
      <c r="F93" s="4" t="s">
        <v>2044</v>
      </c>
      <c r="G93" t="s">
        <v>44</v>
      </c>
      <c r="H93" t="s">
        <v>365</v>
      </c>
      <c r="I93" t="s">
        <v>366</v>
      </c>
      <c r="J93" t="s">
        <v>36</v>
      </c>
      <c r="K93" s="5" t="s">
        <v>1885</v>
      </c>
      <c r="L93" s="5" t="str">
        <f t="shared" si="1"/>
        <v>Los Angeles</v>
      </c>
      <c r="M93" t="s">
        <v>37</v>
      </c>
      <c r="N93">
        <v>90036</v>
      </c>
      <c r="O93" t="s">
        <v>38</v>
      </c>
      <c r="P93" t="s">
        <v>369</v>
      </c>
      <c r="Q93" t="s">
        <v>40</v>
      </c>
      <c r="R93" t="s">
        <v>82</v>
      </c>
      <c r="S93" t="s">
        <v>370</v>
      </c>
      <c r="T93">
        <v>6.48</v>
      </c>
      <c r="U93">
        <v>1</v>
      </c>
      <c r="V93">
        <v>0</v>
      </c>
      <c r="W93">
        <v>3.1104000000000003</v>
      </c>
    </row>
    <row r="94" spans="1:23" x14ac:dyDescent="0.3">
      <c r="A94">
        <v>93</v>
      </c>
      <c r="B94" t="s">
        <v>371</v>
      </c>
      <c r="C94" s="2">
        <v>42035</v>
      </c>
      <c r="D94" s="2" t="str">
        <f>LEFT(orders[[#This Row],[Ship Date]],FIND("0",F94)-1)</f>
        <v>2</v>
      </c>
      <c r="E94" s="2" t="str">
        <f>RIGHT(orders[[#This Row],[Ship Date]],4)</f>
        <v>2015</v>
      </c>
      <c r="F94" s="4" t="s">
        <v>2045</v>
      </c>
      <c r="G94" t="s">
        <v>20</v>
      </c>
      <c r="H94" t="s">
        <v>372</v>
      </c>
      <c r="I94" t="s">
        <v>373</v>
      </c>
      <c r="J94" t="s">
        <v>23</v>
      </c>
      <c r="K94" s="5" t="s">
        <v>1915</v>
      </c>
      <c r="L94" s="5" t="str">
        <f t="shared" si="1"/>
        <v>Minneapolis</v>
      </c>
      <c r="M94" t="s">
        <v>208</v>
      </c>
      <c r="N94">
        <v>55407</v>
      </c>
      <c r="O94" t="s">
        <v>95</v>
      </c>
      <c r="P94" t="s">
        <v>374</v>
      </c>
      <c r="Q94" t="s">
        <v>40</v>
      </c>
      <c r="R94" t="s">
        <v>82</v>
      </c>
      <c r="S94" t="s">
        <v>375</v>
      </c>
      <c r="T94">
        <v>12.96</v>
      </c>
      <c r="U94">
        <v>2</v>
      </c>
      <c r="V94">
        <v>0</v>
      </c>
      <c r="W94">
        <v>6.2208000000000006</v>
      </c>
    </row>
    <row r="95" spans="1:23" x14ac:dyDescent="0.3">
      <c r="A95">
        <v>94</v>
      </c>
      <c r="B95" t="s">
        <v>371</v>
      </c>
      <c r="C95" s="2">
        <v>42035</v>
      </c>
      <c r="D95" s="2" t="str">
        <f>LEFT(orders[[#This Row],[Ship Date]],FIND("0",F95)-1)</f>
        <v>2</v>
      </c>
      <c r="E95" s="2" t="str">
        <f>RIGHT(orders[[#This Row],[Ship Date]],4)</f>
        <v>2015</v>
      </c>
      <c r="F95" s="4" t="s">
        <v>2045</v>
      </c>
      <c r="G95" t="s">
        <v>20</v>
      </c>
      <c r="H95" t="s">
        <v>372</v>
      </c>
      <c r="I95" t="s">
        <v>373</v>
      </c>
      <c r="J95" t="s">
        <v>23</v>
      </c>
      <c r="K95" s="5" t="s">
        <v>1915</v>
      </c>
      <c r="L95" s="5" t="str">
        <f t="shared" si="1"/>
        <v>Minneapolis</v>
      </c>
      <c r="M95" t="s">
        <v>208</v>
      </c>
      <c r="N95">
        <v>55407</v>
      </c>
      <c r="O95" t="s">
        <v>95</v>
      </c>
      <c r="P95" t="s">
        <v>376</v>
      </c>
      <c r="Q95" t="s">
        <v>27</v>
      </c>
      <c r="R95" t="s">
        <v>58</v>
      </c>
      <c r="S95" t="s">
        <v>377</v>
      </c>
      <c r="T95">
        <v>53.34</v>
      </c>
      <c r="U95">
        <v>3</v>
      </c>
      <c r="V95">
        <v>0</v>
      </c>
      <c r="W95">
        <v>16.535399999999996</v>
      </c>
    </row>
    <row r="96" spans="1:23" x14ac:dyDescent="0.3">
      <c r="A96">
        <v>95</v>
      </c>
      <c r="B96" t="s">
        <v>371</v>
      </c>
      <c r="C96" s="2">
        <v>42035</v>
      </c>
      <c r="D96" s="2" t="str">
        <f>LEFT(orders[[#This Row],[Ship Date]],FIND("0",F96)-1)</f>
        <v>2</v>
      </c>
      <c r="E96" s="2" t="str">
        <f>RIGHT(orders[[#This Row],[Ship Date]],4)</f>
        <v>2015</v>
      </c>
      <c r="F96" s="4" t="s">
        <v>2045</v>
      </c>
      <c r="G96" t="s">
        <v>20</v>
      </c>
      <c r="H96" t="s">
        <v>372</v>
      </c>
      <c r="I96" t="s">
        <v>373</v>
      </c>
      <c r="J96" t="s">
        <v>23</v>
      </c>
      <c r="K96" s="5" t="s">
        <v>1915</v>
      </c>
      <c r="L96" s="5" t="str">
        <f t="shared" si="1"/>
        <v>Minneapolis</v>
      </c>
      <c r="M96" t="s">
        <v>208</v>
      </c>
      <c r="N96">
        <v>55407</v>
      </c>
      <c r="O96" t="s">
        <v>95</v>
      </c>
      <c r="P96" t="s">
        <v>378</v>
      </c>
      <c r="Q96" t="s">
        <v>40</v>
      </c>
      <c r="R96" t="s">
        <v>68</v>
      </c>
      <c r="S96" t="s">
        <v>379</v>
      </c>
      <c r="T96">
        <v>32.96</v>
      </c>
      <c r="U96">
        <v>2</v>
      </c>
      <c r="V96">
        <v>0</v>
      </c>
      <c r="W96">
        <v>16.150400000000001</v>
      </c>
    </row>
    <row r="97" spans="1:23" x14ac:dyDescent="0.3">
      <c r="A97">
        <v>96</v>
      </c>
      <c r="B97" t="s">
        <v>380</v>
      </c>
      <c r="C97" s="2">
        <v>43045</v>
      </c>
      <c r="D97" s="2" t="str">
        <f>LEFT(orders[[#This Row],[Ship Date]],FIND("0",F97)-1)</f>
        <v>11</v>
      </c>
      <c r="E97" s="2" t="str">
        <f>RIGHT(orders[[#This Row],[Ship Date]],4)</f>
        <v>2017</v>
      </c>
      <c r="F97" s="4" t="s">
        <v>2046</v>
      </c>
      <c r="G97" t="s">
        <v>44</v>
      </c>
      <c r="H97" t="s">
        <v>381</v>
      </c>
      <c r="I97" t="s">
        <v>382</v>
      </c>
      <c r="J97" t="s">
        <v>93</v>
      </c>
      <c r="K97" s="5" t="s">
        <v>1916</v>
      </c>
      <c r="L97" s="5" t="str">
        <f t="shared" si="1"/>
        <v>Portland</v>
      </c>
      <c r="M97" t="s">
        <v>383</v>
      </c>
      <c r="N97">
        <v>97206</v>
      </c>
      <c r="O97" t="s">
        <v>38</v>
      </c>
      <c r="P97" t="s">
        <v>384</v>
      </c>
      <c r="Q97" t="s">
        <v>40</v>
      </c>
      <c r="R97" t="s">
        <v>68</v>
      </c>
      <c r="S97" t="s">
        <v>385</v>
      </c>
      <c r="T97">
        <v>5.6820000000000013</v>
      </c>
      <c r="U97">
        <v>1</v>
      </c>
      <c r="V97">
        <v>0.7</v>
      </c>
      <c r="W97">
        <v>-3.7880000000000003</v>
      </c>
    </row>
    <row r="98" spans="1:23" x14ac:dyDescent="0.3">
      <c r="A98">
        <v>97</v>
      </c>
      <c r="B98" t="s">
        <v>386</v>
      </c>
      <c r="C98" s="2">
        <v>43048</v>
      </c>
      <c r="D98" s="2" t="str">
        <f>LEFT(orders[[#This Row],[Ship Date]],FIND("0",F98)-1)</f>
        <v>11</v>
      </c>
      <c r="E98" s="2" t="str">
        <f>RIGHT(orders[[#This Row],[Ship Date]],4)</f>
        <v>2017</v>
      </c>
      <c r="F98" s="4" t="s">
        <v>2047</v>
      </c>
      <c r="G98" t="s">
        <v>20</v>
      </c>
      <c r="H98" t="s">
        <v>387</v>
      </c>
      <c r="I98" t="s">
        <v>388</v>
      </c>
      <c r="J98" t="s">
        <v>93</v>
      </c>
      <c r="K98" s="5" t="s">
        <v>1904</v>
      </c>
      <c r="L98" s="5" t="str">
        <f t="shared" si="1"/>
        <v>New York City</v>
      </c>
      <c r="M98" t="s">
        <v>242</v>
      </c>
      <c r="N98">
        <v>10009</v>
      </c>
      <c r="O98" t="s">
        <v>133</v>
      </c>
      <c r="P98" t="s">
        <v>389</v>
      </c>
      <c r="Q98" t="s">
        <v>27</v>
      </c>
      <c r="R98" t="s">
        <v>58</v>
      </c>
      <c r="S98" t="s">
        <v>390</v>
      </c>
      <c r="T98">
        <v>96.53</v>
      </c>
      <c r="U98">
        <v>7</v>
      </c>
      <c r="V98">
        <v>0</v>
      </c>
      <c r="W98">
        <v>40.5426</v>
      </c>
    </row>
    <row r="99" spans="1:23" x14ac:dyDescent="0.3">
      <c r="A99">
        <v>98</v>
      </c>
      <c r="B99" t="s">
        <v>391</v>
      </c>
      <c r="C99" s="2">
        <v>42903</v>
      </c>
      <c r="D99" s="2" t="str">
        <f>LEFT(orders[[#This Row],[Ship Date]],FIND("0",F99)-1)</f>
        <v>6</v>
      </c>
      <c r="E99" s="2" t="str">
        <f>RIGHT(orders[[#This Row],[Ship Date]],4)</f>
        <v>2017</v>
      </c>
      <c r="F99" s="4" t="s">
        <v>2048</v>
      </c>
      <c r="G99" t="s">
        <v>171</v>
      </c>
      <c r="H99" t="s">
        <v>392</v>
      </c>
      <c r="I99" t="s">
        <v>393</v>
      </c>
      <c r="J99" t="s">
        <v>23</v>
      </c>
      <c r="K99" s="5" t="s">
        <v>1892</v>
      </c>
      <c r="L99" s="5" t="str">
        <f t="shared" si="1"/>
        <v>San Francisco</v>
      </c>
      <c r="M99" t="s">
        <v>37</v>
      </c>
      <c r="N99">
        <v>94122</v>
      </c>
      <c r="O99" t="s">
        <v>38</v>
      </c>
      <c r="P99" t="s">
        <v>394</v>
      </c>
      <c r="Q99" t="s">
        <v>40</v>
      </c>
      <c r="R99" t="s">
        <v>68</v>
      </c>
      <c r="S99" t="s">
        <v>395</v>
      </c>
      <c r="T99">
        <v>51.311999999999998</v>
      </c>
      <c r="U99">
        <v>3</v>
      </c>
      <c r="V99">
        <v>0.2</v>
      </c>
      <c r="W99">
        <v>17.959199999999999</v>
      </c>
    </row>
    <row r="100" spans="1:23" x14ac:dyDescent="0.3">
      <c r="A100">
        <v>99</v>
      </c>
      <c r="B100" t="s">
        <v>396</v>
      </c>
      <c r="C100" s="2">
        <v>42619</v>
      </c>
      <c r="D100" s="2" t="str">
        <f>LEFT(orders[[#This Row],[Ship Date]],FIND("0",F100)-1)</f>
        <v>9</v>
      </c>
      <c r="E100" s="2" t="str">
        <f>RIGHT(orders[[#This Row],[Ship Date]],4)</f>
        <v>2016</v>
      </c>
      <c r="F100" s="4" t="s">
        <v>2049</v>
      </c>
      <c r="G100" t="s">
        <v>44</v>
      </c>
      <c r="H100" t="s">
        <v>397</v>
      </c>
      <c r="I100" t="s">
        <v>398</v>
      </c>
      <c r="J100" t="s">
        <v>36</v>
      </c>
      <c r="K100" s="5" t="s">
        <v>1917</v>
      </c>
      <c r="L100" s="5" t="str">
        <f t="shared" si="1"/>
        <v>Saint Paul</v>
      </c>
      <c r="M100" t="s">
        <v>208</v>
      </c>
      <c r="N100">
        <v>55106</v>
      </c>
      <c r="O100" t="s">
        <v>95</v>
      </c>
      <c r="P100" t="s">
        <v>399</v>
      </c>
      <c r="Q100" t="s">
        <v>40</v>
      </c>
      <c r="R100" t="s">
        <v>71</v>
      </c>
      <c r="S100" t="s">
        <v>400</v>
      </c>
      <c r="T100">
        <v>77.88</v>
      </c>
      <c r="U100">
        <v>6</v>
      </c>
      <c r="V100">
        <v>0</v>
      </c>
      <c r="W100">
        <v>22.585199999999993</v>
      </c>
    </row>
    <row r="101" spans="1:23" x14ac:dyDescent="0.3">
      <c r="A101">
        <v>100</v>
      </c>
      <c r="B101" t="s">
        <v>401</v>
      </c>
      <c r="C101" s="2">
        <v>42611</v>
      </c>
      <c r="D101" s="2" t="str">
        <f>LEFT(orders[[#This Row],[Ship Date]],FIND("0",F101)-1)</f>
        <v>9</v>
      </c>
      <c r="E101" s="2" t="str">
        <f>RIGHT(orders[[#This Row],[Ship Date]],4)</f>
        <v>2016</v>
      </c>
      <c r="F101" s="4" t="s">
        <v>2050</v>
      </c>
      <c r="G101" t="s">
        <v>44</v>
      </c>
      <c r="H101" t="s">
        <v>402</v>
      </c>
      <c r="I101" t="s">
        <v>403</v>
      </c>
      <c r="J101" t="s">
        <v>93</v>
      </c>
      <c r="K101" s="5" t="s">
        <v>1906</v>
      </c>
      <c r="L101" s="5" t="str">
        <f t="shared" si="1"/>
        <v>Chicago</v>
      </c>
      <c r="M101" t="s">
        <v>192</v>
      </c>
      <c r="N101">
        <v>60610</v>
      </c>
      <c r="O101" t="s">
        <v>95</v>
      </c>
      <c r="P101" t="s">
        <v>404</v>
      </c>
      <c r="Q101" t="s">
        <v>40</v>
      </c>
      <c r="R101" t="s">
        <v>82</v>
      </c>
      <c r="S101" t="s">
        <v>405</v>
      </c>
      <c r="T101">
        <v>64.623999999999995</v>
      </c>
      <c r="U101">
        <v>7</v>
      </c>
      <c r="V101">
        <v>0.2</v>
      </c>
      <c r="W101">
        <v>22.618399999999994</v>
      </c>
    </row>
    <row r="102" spans="1:23" x14ac:dyDescent="0.3">
      <c r="A102">
        <v>101</v>
      </c>
      <c r="B102" t="s">
        <v>401</v>
      </c>
      <c r="C102" s="2">
        <v>42611</v>
      </c>
      <c r="D102" s="2" t="str">
        <f>LEFT(orders[[#This Row],[Ship Date]],FIND("0",F102)-1)</f>
        <v>9</v>
      </c>
      <c r="E102" s="2" t="str">
        <f>RIGHT(orders[[#This Row],[Ship Date]],4)</f>
        <v>2016</v>
      </c>
      <c r="F102" s="4" t="s">
        <v>2050</v>
      </c>
      <c r="G102" t="s">
        <v>44</v>
      </c>
      <c r="H102" t="s">
        <v>402</v>
      </c>
      <c r="I102" t="s">
        <v>403</v>
      </c>
      <c r="J102" t="s">
        <v>93</v>
      </c>
      <c r="K102" s="5" t="s">
        <v>1906</v>
      </c>
      <c r="L102" s="5" t="str">
        <f t="shared" si="1"/>
        <v>Chicago</v>
      </c>
      <c r="M102" t="s">
        <v>192</v>
      </c>
      <c r="N102">
        <v>60610</v>
      </c>
      <c r="O102" t="s">
        <v>95</v>
      </c>
      <c r="P102" t="s">
        <v>406</v>
      </c>
      <c r="Q102" t="s">
        <v>64</v>
      </c>
      <c r="R102" t="s">
        <v>145</v>
      </c>
      <c r="S102" t="s">
        <v>407</v>
      </c>
      <c r="T102">
        <v>95.976000000000013</v>
      </c>
      <c r="U102">
        <v>3</v>
      </c>
      <c r="V102">
        <v>0.2</v>
      </c>
      <c r="W102">
        <v>-10.797300000000011</v>
      </c>
    </row>
    <row r="103" spans="1:23" x14ac:dyDescent="0.3">
      <c r="A103">
        <v>102</v>
      </c>
      <c r="B103" t="s">
        <v>401</v>
      </c>
      <c r="C103" s="2">
        <v>42611</v>
      </c>
      <c r="D103" s="2" t="str">
        <f>LEFT(orders[[#This Row],[Ship Date]],FIND("0",F103)-1)</f>
        <v>9</v>
      </c>
      <c r="E103" s="2" t="str">
        <f>RIGHT(orders[[#This Row],[Ship Date]],4)</f>
        <v>2016</v>
      </c>
      <c r="F103" s="4" t="s">
        <v>2050</v>
      </c>
      <c r="G103" t="s">
        <v>44</v>
      </c>
      <c r="H103" t="s">
        <v>402</v>
      </c>
      <c r="I103" t="s">
        <v>403</v>
      </c>
      <c r="J103" t="s">
        <v>93</v>
      </c>
      <c r="K103" s="5" t="s">
        <v>1906</v>
      </c>
      <c r="L103" s="5" t="str">
        <f t="shared" si="1"/>
        <v>Chicago</v>
      </c>
      <c r="M103" t="s">
        <v>192</v>
      </c>
      <c r="N103">
        <v>60610</v>
      </c>
      <c r="O103" t="s">
        <v>95</v>
      </c>
      <c r="P103" t="s">
        <v>408</v>
      </c>
      <c r="Q103" t="s">
        <v>40</v>
      </c>
      <c r="R103" t="s">
        <v>68</v>
      </c>
      <c r="S103" t="s">
        <v>409</v>
      </c>
      <c r="T103">
        <v>1.7879999999999996</v>
      </c>
      <c r="U103">
        <v>3</v>
      </c>
      <c r="V103">
        <v>0.8</v>
      </c>
      <c r="W103">
        <v>-3.0396000000000001</v>
      </c>
    </row>
    <row r="104" spans="1:23" x14ac:dyDescent="0.3">
      <c r="A104">
        <v>103</v>
      </c>
      <c r="B104" t="s">
        <v>410</v>
      </c>
      <c r="C104" s="2">
        <v>42705</v>
      </c>
      <c r="D104" s="2" t="str">
        <f>LEFT(orders[[#This Row],[Ship Date]],FIND("0",F104)-1)</f>
        <v>12</v>
      </c>
      <c r="E104" s="2" t="str">
        <f>RIGHT(orders[[#This Row],[Ship Date]],4)</f>
        <v>2016</v>
      </c>
      <c r="F104" s="4" t="s">
        <v>2051</v>
      </c>
      <c r="G104" t="s">
        <v>20</v>
      </c>
      <c r="H104" t="s">
        <v>411</v>
      </c>
      <c r="I104" t="s">
        <v>412</v>
      </c>
      <c r="J104" t="s">
        <v>23</v>
      </c>
      <c r="K104" s="5" t="s">
        <v>1914</v>
      </c>
      <c r="L104" s="5" t="str">
        <f t="shared" si="1"/>
        <v>Rochester</v>
      </c>
      <c r="M104" t="s">
        <v>208</v>
      </c>
      <c r="N104">
        <v>55901</v>
      </c>
      <c r="O104" t="s">
        <v>95</v>
      </c>
      <c r="P104" t="s">
        <v>413</v>
      </c>
      <c r="Q104" t="s">
        <v>40</v>
      </c>
      <c r="R104" t="s">
        <v>82</v>
      </c>
      <c r="S104" t="s">
        <v>414</v>
      </c>
      <c r="T104">
        <v>23.92</v>
      </c>
      <c r="U104">
        <v>4</v>
      </c>
      <c r="V104">
        <v>0</v>
      </c>
      <c r="W104">
        <v>11.720800000000001</v>
      </c>
    </row>
    <row r="105" spans="1:23" x14ac:dyDescent="0.3">
      <c r="A105">
        <v>104</v>
      </c>
      <c r="B105" t="s">
        <v>415</v>
      </c>
      <c r="C105" s="2">
        <v>42321</v>
      </c>
      <c r="D105" s="2" t="str">
        <f>LEFT(orders[[#This Row],[Ship Date]],FIND("0",F105)-1)</f>
        <v>11</v>
      </c>
      <c r="E105" s="2" t="str">
        <f>RIGHT(orders[[#This Row],[Ship Date]],4)</f>
        <v>2015</v>
      </c>
      <c r="F105" s="4" t="s">
        <v>2052</v>
      </c>
      <c r="G105" t="s">
        <v>44</v>
      </c>
      <c r="H105" t="s">
        <v>416</v>
      </c>
      <c r="I105" t="s">
        <v>417</v>
      </c>
      <c r="J105" t="s">
        <v>23</v>
      </c>
      <c r="K105" s="5" t="s">
        <v>1918</v>
      </c>
      <c r="L105" s="5" t="str">
        <f t="shared" si="1"/>
        <v>Aurora</v>
      </c>
      <c r="M105" t="s">
        <v>418</v>
      </c>
      <c r="N105">
        <v>80013</v>
      </c>
      <c r="O105" t="s">
        <v>38</v>
      </c>
      <c r="P105" t="s">
        <v>419</v>
      </c>
      <c r="Q105" t="s">
        <v>64</v>
      </c>
      <c r="R105" t="s">
        <v>145</v>
      </c>
      <c r="S105" t="s">
        <v>420</v>
      </c>
      <c r="T105">
        <v>238.89600000000002</v>
      </c>
      <c r="U105">
        <v>6</v>
      </c>
      <c r="V105">
        <v>0.2</v>
      </c>
      <c r="W105">
        <v>-26.875800000000012</v>
      </c>
    </row>
    <row r="106" spans="1:23" x14ac:dyDescent="0.3">
      <c r="A106">
        <v>105</v>
      </c>
      <c r="B106" t="s">
        <v>415</v>
      </c>
      <c r="C106" s="2">
        <v>42321</v>
      </c>
      <c r="D106" s="2" t="str">
        <f>LEFT(orders[[#This Row],[Ship Date]],FIND("0",F106)-1)</f>
        <v>11</v>
      </c>
      <c r="E106" s="2" t="str">
        <f>RIGHT(orders[[#This Row],[Ship Date]],4)</f>
        <v>2015</v>
      </c>
      <c r="F106" s="4" t="s">
        <v>2052</v>
      </c>
      <c r="G106" t="s">
        <v>44</v>
      </c>
      <c r="H106" t="s">
        <v>416</v>
      </c>
      <c r="I106" t="s">
        <v>417</v>
      </c>
      <c r="J106" t="s">
        <v>23</v>
      </c>
      <c r="K106" s="5" t="s">
        <v>1918</v>
      </c>
      <c r="L106" s="5" t="str">
        <f t="shared" si="1"/>
        <v>Aurora</v>
      </c>
      <c r="M106" t="s">
        <v>418</v>
      </c>
      <c r="N106">
        <v>80013</v>
      </c>
      <c r="O106" t="s">
        <v>38</v>
      </c>
      <c r="P106" t="s">
        <v>421</v>
      </c>
      <c r="Q106" t="s">
        <v>27</v>
      </c>
      <c r="R106" t="s">
        <v>58</v>
      </c>
      <c r="S106" t="s">
        <v>422</v>
      </c>
      <c r="T106">
        <v>102.35999999999999</v>
      </c>
      <c r="U106">
        <v>3</v>
      </c>
      <c r="V106">
        <v>0.2</v>
      </c>
      <c r="W106">
        <v>-3.8385000000000105</v>
      </c>
    </row>
    <row r="107" spans="1:23" x14ac:dyDescent="0.3">
      <c r="A107">
        <v>106</v>
      </c>
      <c r="B107" t="s">
        <v>415</v>
      </c>
      <c r="C107" s="2">
        <v>42321</v>
      </c>
      <c r="D107" s="2" t="str">
        <f>LEFT(orders[[#This Row],[Ship Date]],FIND("0",F107)-1)</f>
        <v>11</v>
      </c>
      <c r="E107" s="2" t="str">
        <f>RIGHT(orders[[#This Row],[Ship Date]],4)</f>
        <v>2015</v>
      </c>
      <c r="F107" s="4" t="s">
        <v>2052</v>
      </c>
      <c r="G107" t="s">
        <v>44</v>
      </c>
      <c r="H107" t="s">
        <v>416</v>
      </c>
      <c r="I107" t="s">
        <v>417</v>
      </c>
      <c r="J107" t="s">
        <v>23</v>
      </c>
      <c r="K107" s="5" t="s">
        <v>1918</v>
      </c>
      <c r="L107" s="5" t="str">
        <f t="shared" si="1"/>
        <v>Aurora</v>
      </c>
      <c r="M107" t="s">
        <v>418</v>
      </c>
      <c r="N107">
        <v>80013</v>
      </c>
      <c r="O107" t="s">
        <v>38</v>
      </c>
      <c r="P107" t="s">
        <v>423</v>
      </c>
      <c r="Q107" t="s">
        <v>40</v>
      </c>
      <c r="R107" t="s">
        <v>68</v>
      </c>
      <c r="S107" t="s">
        <v>424</v>
      </c>
      <c r="T107">
        <v>36.882000000000005</v>
      </c>
      <c r="U107">
        <v>3</v>
      </c>
      <c r="V107">
        <v>0.7</v>
      </c>
      <c r="W107">
        <v>-25.817399999999999</v>
      </c>
    </row>
    <row r="108" spans="1:23" x14ac:dyDescent="0.3">
      <c r="A108">
        <v>107</v>
      </c>
      <c r="B108" t="s">
        <v>425</v>
      </c>
      <c r="C108" s="2">
        <v>43062</v>
      </c>
      <c r="D108" s="2" t="str">
        <f>LEFT(orders[[#This Row],[Ship Date]],FIND("0",F108)-1)</f>
        <v>11</v>
      </c>
      <c r="E108" s="2" t="str">
        <f>RIGHT(orders[[#This Row],[Ship Date]],4)</f>
        <v>2017</v>
      </c>
      <c r="F108" s="4" t="s">
        <v>2053</v>
      </c>
      <c r="G108" t="s">
        <v>44</v>
      </c>
      <c r="H108" t="s">
        <v>426</v>
      </c>
      <c r="I108" t="s">
        <v>427</v>
      </c>
      <c r="J108" t="s">
        <v>23</v>
      </c>
      <c r="K108" s="5" t="s">
        <v>1919</v>
      </c>
      <c r="L108" s="5" t="str">
        <f t="shared" si="1"/>
        <v>Charlotte</v>
      </c>
      <c r="M108" t="s">
        <v>80</v>
      </c>
      <c r="N108">
        <v>28205</v>
      </c>
      <c r="O108" t="s">
        <v>25</v>
      </c>
      <c r="P108" t="s">
        <v>428</v>
      </c>
      <c r="Q108" t="s">
        <v>64</v>
      </c>
      <c r="R108" t="s">
        <v>145</v>
      </c>
      <c r="S108" t="s">
        <v>429</v>
      </c>
      <c r="T108">
        <v>74.112000000000009</v>
      </c>
      <c r="U108">
        <v>8</v>
      </c>
      <c r="V108">
        <v>0.2</v>
      </c>
      <c r="W108">
        <v>17.601600000000001</v>
      </c>
    </row>
    <row r="109" spans="1:23" x14ac:dyDescent="0.3">
      <c r="A109">
        <v>108</v>
      </c>
      <c r="B109" t="s">
        <v>425</v>
      </c>
      <c r="C109" s="2">
        <v>43062</v>
      </c>
      <c r="D109" s="2" t="str">
        <f>LEFT(orders[[#This Row],[Ship Date]],FIND("0",F109)-1)</f>
        <v>11</v>
      </c>
      <c r="E109" s="2" t="str">
        <f>RIGHT(orders[[#This Row],[Ship Date]],4)</f>
        <v>2017</v>
      </c>
      <c r="F109" s="4" t="s">
        <v>2053</v>
      </c>
      <c r="G109" t="s">
        <v>44</v>
      </c>
      <c r="H109" t="s">
        <v>426</v>
      </c>
      <c r="I109" t="s">
        <v>427</v>
      </c>
      <c r="J109" t="s">
        <v>23</v>
      </c>
      <c r="K109" s="5" t="s">
        <v>1919</v>
      </c>
      <c r="L109" s="5" t="str">
        <f t="shared" si="1"/>
        <v>Charlotte</v>
      </c>
      <c r="M109" t="s">
        <v>80</v>
      </c>
      <c r="N109">
        <v>28205</v>
      </c>
      <c r="O109" t="s">
        <v>25</v>
      </c>
      <c r="P109" t="s">
        <v>430</v>
      </c>
      <c r="Q109" t="s">
        <v>64</v>
      </c>
      <c r="R109" t="s">
        <v>65</v>
      </c>
      <c r="S109" t="s">
        <v>431</v>
      </c>
      <c r="T109">
        <v>27.992000000000004</v>
      </c>
      <c r="U109">
        <v>1</v>
      </c>
      <c r="V109">
        <v>0.2</v>
      </c>
      <c r="W109">
        <v>2.0993999999999993</v>
      </c>
    </row>
    <row r="110" spans="1:23" x14ac:dyDescent="0.3">
      <c r="A110">
        <v>109</v>
      </c>
      <c r="B110" t="s">
        <v>425</v>
      </c>
      <c r="C110" s="2">
        <v>43062</v>
      </c>
      <c r="D110" s="2" t="str">
        <f>LEFT(orders[[#This Row],[Ship Date]],FIND("0",F110)-1)</f>
        <v>11</v>
      </c>
      <c r="E110" s="2" t="str">
        <f>RIGHT(orders[[#This Row],[Ship Date]],4)</f>
        <v>2017</v>
      </c>
      <c r="F110" s="4" t="s">
        <v>2053</v>
      </c>
      <c r="G110" t="s">
        <v>44</v>
      </c>
      <c r="H110" t="s">
        <v>426</v>
      </c>
      <c r="I110" t="s">
        <v>427</v>
      </c>
      <c r="J110" t="s">
        <v>23</v>
      </c>
      <c r="K110" s="5" t="s">
        <v>1919</v>
      </c>
      <c r="L110" s="5" t="str">
        <f t="shared" si="1"/>
        <v>Charlotte</v>
      </c>
      <c r="M110" t="s">
        <v>80</v>
      </c>
      <c r="N110">
        <v>28205</v>
      </c>
      <c r="O110" t="s">
        <v>25</v>
      </c>
      <c r="P110" t="s">
        <v>432</v>
      </c>
      <c r="Q110" t="s">
        <v>40</v>
      </c>
      <c r="R110" t="s">
        <v>61</v>
      </c>
      <c r="S110" t="s">
        <v>433</v>
      </c>
      <c r="T110">
        <v>3.3040000000000003</v>
      </c>
      <c r="U110">
        <v>1</v>
      </c>
      <c r="V110">
        <v>0.2</v>
      </c>
      <c r="W110">
        <v>1.0737999999999999</v>
      </c>
    </row>
    <row r="111" spans="1:23" x14ac:dyDescent="0.3">
      <c r="A111">
        <v>110</v>
      </c>
      <c r="B111" t="s">
        <v>434</v>
      </c>
      <c r="C111" s="2">
        <v>42292</v>
      </c>
      <c r="D111" s="2" t="str">
        <f>LEFT(orders[[#This Row],[Ship Date]],FIND("0",F111)-1)</f>
        <v>1</v>
      </c>
      <c r="E111" s="2" t="str">
        <f>RIGHT(orders[[#This Row],[Ship Date]],4)</f>
        <v>2015</v>
      </c>
      <c r="F111" s="4" t="s">
        <v>2054</v>
      </c>
      <c r="G111" t="s">
        <v>44</v>
      </c>
      <c r="H111" t="s">
        <v>435</v>
      </c>
      <c r="I111" t="s">
        <v>436</v>
      </c>
      <c r="J111" t="s">
        <v>93</v>
      </c>
      <c r="K111" s="5" t="s">
        <v>1920</v>
      </c>
      <c r="L111" s="5" t="str">
        <f t="shared" si="1"/>
        <v>Orland Park</v>
      </c>
      <c r="M111" t="s">
        <v>192</v>
      </c>
      <c r="N111">
        <v>60462</v>
      </c>
      <c r="O111" t="s">
        <v>95</v>
      </c>
      <c r="P111" t="s">
        <v>437</v>
      </c>
      <c r="Q111" t="s">
        <v>64</v>
      </c>
      <c r="R111" t="s">
        <v>145</v>
      </c>
      <c r="S111" t="s">
        <v>438</v>
      </c>
      <c r="T111">
        <v>339.96000000000004</v>
      </c>
      <c r="U111">
        <v>5</v>
      </c>
      <c r="V111">
        <v>0.2</v>
      </c>
      <c r="W111">
        <v>67.991999999999962</v>
      </c>
    </row>
    <row r="112" spans="1:23" x14ac:dyDescent="0.3">
      <c r="A112">
        <v>111</v>
      </c>
      <c r="B112" t="s">
        <v>439</v>
      </c>
      <c r="C112" s="2">
        <v>43094</v>
      </c>
      <c r="D112" s="2" t="str">
        <f>LEFT(orders[[#This Row],[Ship Date]],FIND("0",F112)-1)</f>
        <v>12</v>
      </c>
      <c r="E112" s="2" t="str">
        <f>RIGHT(orders[[#This Row],[Ship Date]],4)</f>
        <v>2017</v>
      </c>
      <c r="F112" s="4" t="s">
        <v>2055</v>
      </c>
      <c r="G112" t="s">
        <v>44</v>
      </c>
      <c r="H112" t="s">
        <v>440</v>
      </c>
      <c r="I112" t="s">
        <v>441</v>
      </c>
      <c r="J112" t="s">
        <v>36</v>
      </c>
      <c r="K112" s="5" t="s">
        <v>1904</v>
      </c>
      <c r="L112" s="5" t="str">
        <f t="shared" si="1"/>
        <v>New York City</v>
      </c>
      <c r="M112" t="s">
        <v>242</v>
      </c>
      <c r="N112">
        <v>10035</v>
      </c>
      <c r="O112" t="s">
        <v>133</v>
      </c>
      <c r="P112" t="s">
        <v>442</v>
      </c>
      <c r="Q112" t="s">
        <v>27</v>
      </c>
      <c r="R112" t="s">
        <v>58</v>
      </c>
      <c r="S112" t="s">
        <v>443</v>
      </c>
      <c r="T112">
        <v>41.96</v>
      </c>
      <c r="U112">
        <v>2</v>
      </c>
      <c r="V112">
        <v>0</v>
      </c>
      <c r="W112">
        <v>10.909600000000001</v>
      </c>
    </row>
    <row r="113" spans="1:23" x14ac:dyDescent="0.3">
      <c r="A113">
        <v>112</v>
      </c>
      <c r="B113" t="s">
        <v>444</v>
      </c>
      <c r="C113" s="2">
        <v>42677</v>
      </c>
      <c r="D113" s="2" t="str">
        <f>LEFT(orders[[#This Row],[Ship Date]],FIND("0",F113)-1)</f>
        <v>11</v>
      </c>
      <c r="E113" s="2" t="str">
        <f>RIGHT(orders[[#This Row],[Ship Date]],4)</f>
        <v>2016</v>
      </c>
      <c r="F113" s="4" t="s">
        <v>2056</v>
      </c>
      <c r="G113" t="s">
        <v>44</v>
      </c>
      <c r="H113" t="s">
        <v>445</v>
      </c>
      <c r="I113" t="s">
        <v>446</v>
      </c>
      <c r="J113" t="s">
        <v>23</v>
      </c>
      <c r="K113" s="5" t="s">
        <v>1921</v>
      </c>
      <c r="L113" s="5" t="str">
        <f t="shared" si="1"/>
        <v>Urbandale</v>
      </c>
      <c r="M113" t="s">
        <v>447</v>
      </c>
      <c r="N113">
        <v>50322</v>
      </c>
      <c r="O113" t="s">
        <v>95</v>
      </c>
      <c r="P113" t="s">
        <v>448</v>
      </c>
      <c r="Q113" t="s">
        <v>40</v>
      </c>
      <c r="R113" t="s">
        <v>61</v>
      </c>
      <c r="S113" t="s">
        <v>449</v>
      </c>
      <c r="T113">
        <v>75.959999999999994</v>
      </c>
      <c r="U113">
        <v>2</v>
      </c>
      <c r="V113">
        <v>0</v>
      </c>
      <c r="W113">
        <v>22.78799999999999</v>
      </c>
    </row>
    <row r="114" spans="1:23" x14ac:dyDescent="0.3">
      <c r="A114">
        <v>113</v>
      </c>
      <c r="B114" t="s">
        <v>444</v>
      </c>
      <c r="C114" s="2">
        <v>42677</v>
      </c>
      <c r="D114" s="2" t="str">
        <f>LEFT(orders[[#This Row],[Ship Date]],FIND("0",F114)-1)</f>
        <v>11</v>
      </c>
      <c r="E114" s="2" t="str">
        <f>RIGHT(orders[[#This Row],[Ship Date]],4)</f>
        <v>2016</v>
      </c>
      <c r="F114" s="4" t="s">
        <v>2056</v>
      </c>
      <c r="G114" t="s">
        <v>44</v>
      </c>
      <c r="H114" t="s">
        <v>445</v>
      </c>
      <c r="I114" t="s">
        <v>446</v>
      </c>
      <c r="J114" t="s">
        <v>23</v>
      </c>
      <c r="K114" s="5" t="s">
        <v>1921</v>
      </c>
      <c r="L114" s="5" t="str">
        <f t="shared" si="1"/>
        <v>Urbandale</v>
      </c>
      <c r="M114" t="s">
        <v>447</v>
      </c>
      <c r="N114">
        <v>50322</v>
      </c>
      <c r="O114" t="s">
        <v>95</v>
      </c>
      <c r="P114" t="s">
        <v>450</v>
      </c>
      <c r="Q114" t="s">
        <v>40</v>
      </c>
      <c r="R114" t="s">
        <v>68</v>
      </c>
      <c r="S114" t="s">
        <v>451</v>
      </c>
      <c r="T114">
        <v>27.240000000000002</v>
      </c>
      <c r="U114">
        <v>6</v>
      </c>
      <c r="V114">
        <v>0</v>
      </c>
      <c r="W114">
        <v>13.3476</v>
      </c>
    </row>
    <row r="115" spans="1:23" x14ac:dyDescent="0.3">
      <c r="A115">
        <v>114</v>
      </c>
      <c r="B115" t="s">
        <v>452</v>
      </c>
      <c r="C115" s="2">
        <v>41876</v>
      </c>
      <c r="D115" s="2" t="str">
        <f>LEFT(orders[[#This Row],[Ship Date]],FIND("0",F115)-1)</f>
        <v>8</v>
      </c>
      <c r="E115" s="2" t="str">
        <f>RIGHT(orders[[#This Row],[Ship Date]],4)</f>
        <v>2014</v>
      </c>
      <c r="F115" s="4" t="s">
        <v>2057</v>
      </c>
      <c r="G115" t="s">
        <v>20</v>
      </c>
      <c r="H115" t="s">
        <v>453</v>
      </c>
      <c r="I115" t="s">
        <v>454</v>
      </c>
      <c r="J115" t="s">
        <v>23</v>
      </c>
      <c r="K115" s="5" t="s">
        <v>1922</v>
      </c>
      <c r="L115" s="5" t="str">
        <f t="shared" si="1"/>
        <v>Columbus</v>
      </c>
      <c r="M115" t="s">
        <v>455</v>
      </c>
      <c r="N115">
        <v>43229</v>
      </c>
      <c r="O115" t="s">
        <v>133</v>
      </c>
      <c r="P115" t="s">
        <v>456</v>
      </c>
      <c r="Q115" t="s">
        <v>40</v>
      </c>
      <c r="R115" t="s">
        <v>244</v>
      </c>
      <c r="S115" t="s">
        <v>457</v>
      </c>
      <c r="T115">
        <v>40.096000000000004</v>
      </c>
      <c r="U115">
        <v>14</v>
      </c>
      <c r="V115">
        <v>0.2</v>
      </c>
      <c r="W115">
        <v>14.534799999999997</v>
      </c>
    </row>
    <row r="116" spans="1:23" x14ac:dyDescent="0.3">
      <c r="A116">
        <v>115</v>
      </c>
      <c r="B116" t="s">
        <v>452</v>
      </c>
      <c r="C116" s="2">
        <v>41876</v>
      </c>
      <c r="D116" s="2" t="str">
        <f>LEFT(orders[[#This Row],[Ship Date]],FIND("0",F116)-1)</f>
        <v>8</v>
      </c>
      <c r="E116" s="2" t="str">
        <f>RIGHT(orders[[#This Row],[Ship Date]],4)</f>
        <v>2014</v>
      </c>
      <c r="F116" s="4" t="s">
        <v>2057</v>
      </c>
      <c r="G116" t="s">
        <v>20</v>
      </c>
      <c r="H116" t="s">
        <v>453</v>
      </c>
      <c r="I116" t="s">
        <v>454</v>
      </c>
      <c r="J116" t="s">
        <v>23</v>
      </c>
      <c r="K116" s="5" t="s">
        <v>1922</v>
      </c>
      <c r="L116" s="5" t="str">
        <f t="shared" si="1"/>
        <v>Columbus</v>
      </c>
      <c r="M116" t="s">
        <v>455</v>
      </c>
      <c r="N116">
        <v>43229</v>
      </c>
      <c r="O116" t="s">
        <v>133</v>
      </c>
      <c r="P116" t="s">
        <v>458</v>
      </c>
      <c r="Q116" t="s">
        <v>40</v>
      </c>
      <c r="R116" t="s">
        <v>157</v>
      </c>
      <c r="S116" t="s">
        <v>459</v>
      </c>
      <c r="T116">
        <v>4.7200000000000006</v>
      </c>
      <c r="U116">
        <v>2</v>
      </c>
      <c r="V116">
        <v>0.2</v>
      </c>
      <c r="W116">
        <v>1.6519999999999997</v>
      </c>
    </row>
    <row r="117" spans="1:23" x14ac:dyDescent="0.3">
      <c r="A117">
        <v>116</v>
      </c>
      <c r="B117" t="s">
        <v>452</v>
      </c>
      <c r="C117" s="2">
        <v>41876</v>
      </c>
      <c r="D117" s="2" t="str">
        <f>LEFT(orders[[#This Row],[Ship Date]],FIND("0",F117)-1)</f>
        <v>8</v>
      </c>
      <c r="E117" s="2" t="str">
        <f>RIGHT(orders[[#This Row],[Ship Date]],4)</f>
        <v>2014</v>
      </c>
      <c r="F117" s="4" t="s">
        <v>2057</v>
      </c>
      <c r="G117" t="s">
        <v>20</v>
      </c>
      <c r="H117" t="s">
        <v>453</v>
      </c>
      <c r="I117" t="s">
        <v>454</v>
      </c>
      <c r="J117" t="s">
        <v>23</v>
      </c>
      <c r="K117" s="5" t="s">
        <v>1922</v>
      </c>
      <c r="L117" s="5" t="str">
        <f t="shared" si="1"/>
        <v>Columbus</v>
      </c>
      <c r="M117" t="s">
        <v>455</v>
      </c>
      <c r="N117">
        <v>43229</v>
      </c>
      <c r="O117" t="s">
        <v>133</v>
      </c>
      <c r="P117" t="s">
        <v>460</v>
      </c>
      <c r="Q117" t="s">
        <v>40</v>
      </c>
      <c r="R117" t="s">
        <v>82</v>
      </c>
      <c r="S117" t="s">
        <v>461</v>
      </c>
      <c r="T117">
        <v>23.976000000000003</v>
      </c>
      <c r="U117">
        <v>3</v>
      </c>
      <c r="V117">
        <v>0.2</v>
      </c>
      <c r="W117">
        <v>7.4924999999999988</v>
      </c>
    </row>
    <row r="118" spans="1:23" x14ac:dyDescent="0.3">
      <c r="A118">
        <v>117</v>
      </c>
      <c r="B118" t="s">
        <v>452</v>
      </c>
      <c r="C118" s="2">
        <v>41876</v>
      </c>
      <c r="D118" s="2" t="str">
        <f>LEFT(orders[[#This Row],[Ship Date]],FIND("0",F118)-1)</f>
        <v>8</v>
      </c>
      <c r="E118" s="2" t="str">
        <f>RIGHT(orders[[#This Row],[Ship Date]],4)</f>
        <v>2014</v>
      </c>
      <c r="F118" s="4" t="s">
        <v>2057</v>
      </c>
      <c r="G118" t="s">
        <v>20</v>
      </c>
      <c r="H118" t="s">
        <v>453</v>
      </c>
      <c r="I118" t="s">
        <v>454</v>
      </c>
      <c r="J118" t="s">
        <v>23</v>
      </c>
      <c r="K118" s="5" t="s">
        <v>1922</v>
      </c>
      <c r="L118" s="5" t="str">
        <f t="shared" si="1"/>
        <v>Columbus</v>
      </c>
      <c r="M118" t="s">
        <v>455</v>
      </c>
      <c r="N118">
        <v>43229</v>
      </c>
      <c r="O118" t="s">
        <v>133</v>
      </c>
      <c r="P118" t="s">
        <v>462</v>
      </c>
      <c r="Q118" t="s">
        <v>40</v>
      </c>
      <c r="R118" t="s">
        <v>157</v>
      </c>
      <c r="S118" t="s">
        <v>463</v>
      </c>
      <c r="T118">
        <v>130.464</v>
      </c>
      <c r="U118">
        <v>6</v>
      </c>
      <c r="V118">
        <v>0.2</v>
      </c>
      <c r="W118">
        <v>44.031599999999997</v>
      </c>
    </row>
    <row r="119" spans="1:23" x14ac:dyDescent="0.3">
      <c r="A119">
        <v>118</v>
      </c>
      <c r="B119" t="s">
        <v>464</v>
      </c>
      <c r="C119" s="2">
        <v>42065</v>
      </c>
      <c r="D119" s="2" t="str">
        <f>LEFT(orders[[#This Row],[Ship Date]],FIND("0",F119)-1)</f>
        <v>3</v>
      </c>
      <c r="E119" s="2" t="str">
        <f>RIGHT(orders[[#This Row],[Ship Date]],4)</f>
        <v>2015</v>
      </c>
      <c r="F119" s="4" t="s">
        <v>2058</v>
      </c>
      <c r="G119" t="s">
        <v>44</v>
      </c>
      <c r="H119" t="s">
        <v>465</v>
      </c>
      <c r="I119" t="s">
        <v>466</v>
      </c>
      <c r="J119" t="s">
        <v>23</v>
      </c>
      <c r="K119" s="5" t="s">
        <v>1888</v>
      </c>
      <c r="L119" s="5" t="str">
        <f t="shared" si="1"/>
        <v>Seattle</v>
      </c>
      <c r="M119" t="s">
        <v>87</v>
      </c>
      <c r="N119">
        <v>98103</v>
      </c>
      <c r="O119" t="s">
        <v>38</v>
      </c>
      <c r="P119" t="s">
        <v>467</v>
      </c>
      <c r="Q119" t="s">
        <v>27</v>
      </c>
      <c r="R119" t="s">
        <v>49</v>
      </c>
      <c r="S119" t="s">
        <v>468</v>
      </c>
      <c r="T119">
        <v>787.53</v>
      </c>
      <c r="U119">
        <v>3</v>
      </c>
      <c r="V119">
        <v>0</v>
      </c>
      <c r="W119">
        <v>165.38129999999995</v>
      </c>
    </row>
    <row r="120" spans="1:23" x14ac:dyDescent="0.3">
      <c r="A120">
        <v>119</v>
      </c>
      <c r="B120" t="s">
        <v>469</v>
      </c>
      <c r="C120" s="2">
        <v>42099</v>
      </c>
      <c r="D120" s="2" t="str">
        <f>LEFT(orders[[#This Row],[Ship Date]],FIND("0",F120)-1)</f>
        <v>4</v>
      </c>
      <c r="E120" s="2" t="str">
        <f>RIGHT(orders[[#This Row],[Ship Date]],4)</f>
        <v>2015</v>
      </c>
      <c r="F120" s="4" t="s">
        <v>2059</v>
      </c>
      <c r="G120" t="s">
        <v>44</v>
      </c>
      <c r="H120" t="s">
        <v>470</v>
      </c>
      <c r="I120" t="s">
        <v>471</v>
      </c>
      <c r="J120" t="s">
        <v>36</v>
      </c>
      <c r="K120" s="5" t="s">
        <v>1923</v>
      </c>
      <c r="L120" s="5" t="str">
        <f t="shared" si="1"/>
        <v>Bristol</v>
      </c>
      <c r="M120" t="s">
        <v>304</v>
      </c>
      <c r="N120">
        <v>37620</v>
      </c>
      <c r="O120" t="s">
        <v>25</v>
      </c>
      <c r="P120" t="s">
        <v>472</v>
      </c>
      <c r="Q120" t="s">
        <v>40</v>
      </c>
      <c r="R120" t="s">
        <v>68</v>
      </c>
      <c r="S120" t="s">
        <v>473</v>
      </c>
      <c r="T120">
        <v>157.79400000000004</v>
      </c>
      <c r="U120">
        <v>1</v>
      </c>
      <c r="V120">
        <v>0.7</v>
      </c>
      <c r="W120">
        <v>-115.71559999999999</v>
      </c>
    </row>
    <row r="121" spans="1:23" x14ac:dyDescent="0.3">
      <c r="A121">
        <v>120</v>
      </c>
      <c r="B121" t="s">
        <v>474</v>
      </c>
      <c r="C121" s="2">
        <v>42533</v>
      </c>
      <c r="D121" s="2" t="str">
        <f>LEFT(orders[[#This Row],[Ship Date]],FIND("0",F121)-1)</f>
        <v>6</v>
      </c>
      <c r="E121" s="2" t="str">
        <f>RIGHT(orders[[#This Row],[Ship Date]],4)</f>
        <v>2016</v>
      </c>
      <c r="F121" s="4" t="s">
        <v>2037</v>
      </c>
      <c r="G121" t="s">
        <v>171</v>
      </c>
      <c r="H121" t="s">
        <v>475</v>
      </c>
      <c r="I121" t="s">
        <v>476</v>
      </c>
      <c r="J121" t="s">
        <v>23</v>
      </c>
      <c r="K121" s="5" t="s">
        <v>1924</v>
      </c>
      <c r="L121" s="5" t="str">
        <f t="shared" si="1"/>
        <v>Wilmington</v>
      </c>
      <c r="M121" t="s">
        <v>222</v>
      </c>
      <c r="N121">
        <v>19805</v>
      </c>
      <c r="O121" t="s">
        <v>133</v>
      </c>
      <c r="P121" t="s">
        <v>477</v>
      </c>
      <c r="Q121" t="s">
        <v>27</v>
      </c>
      <c r="R121" t="s">
        <v>58</v>
      </c>
      <c r="S121" t="s">
        <v>478</v>
      </c>
      <c r="T121">
        <v>47.04</v>
      </c>
      <c r="U121">
        <v>3</v>
      </c>
      <c r="V121">
        <v>0</v>
      </c>
      <c r="W121">
        <v>18.345599999999997</v>
      </c>
    </row>
    <row r="122" spans="1:23" x14ac:dyDescent="0.3">
      <c r="A122">
        <v>121</v>
      </c>
      <c r="B122" t="s">
        <v>474</v>
      </c>
      <c r="C122" s="2">
        <v>42533</v>
      </c>
      <c r="D122" s="2" t="str">
        <f>LEFT(orders[[#This Row],[Ship Date]],FIND("0",F122)-1)</f>
        <v>6</v>
      </c>
      <c r="E122" s="2" t="str">
        <f>RIGHT(orders[[#This Row],[Ship Date]],4)</f>
        <v>2016</v>
      </c>
      <c r="F122" s="4" t="s">
        <v>2037</v>
      </c>
      <c r="G122" t="s">
        <v>171</v>
      </c>
      <c r="H122" t="s">
        <v>475</v>
      </c>
      <c r="I122" t="s">
        <v>476</v>
      </c>
      <c r="J122" t="s">
        <v>23</v>
      </c>
      <c r="K122" s="5" t="s">
        <v>1924</v>
      </c>
      <c r="L122" s="5" t="str">
        <f t="shared" si="1"/>
        <v>Wilmington</v>
      </c>
      <c r="M122" t="s">
        <v>222</v>
      </c>
      <c r="N122">
        <v>19805</v>
      </c>
      <c r="O122" t="s">
        <v>133</v>
      </c>
      <c r="P122" t="s">
        <v>67</v>
      </c>
      <c r="Q122" t="s">
        <v>40</v>
      </c>
      <c r="R122" t="s">
        <v>68</v>
      </c>
      <c r="S122" t="s">
        <v>69</v>
      </c>
      <c r="T122">
        <v>30.84</v>
      </c>
      <c r="U122">
        <v>4</v>
      </c>
      <c r="V122">
        <v>0</v>
      </c>
      <c r="W122">
        <v>13.878</v>
      </c>
    </row>
    <row r="123" spans="1:23" x14ac:dyDescent="0.3">
      <c r="A123">
        <v>122</v>
      </c>
      <c r="B123" t="s">
        <v>474</v>
      </c>
      <c r="C123" s="2">
        <v>42533</v>
      </c>
      <c r="D123" s="2" t="str">
        <f>LEFT(orders[[#This Row],[Ship Date]],FIND("0",F123)-1)</f>
        <v>6</v>
      </c>
      <c r="E123" s="2" t="str">
        <f>RIGHT(orders[[#This Row],[Ship Date]],4)</f>
        <v>2016</v>
      </c>
      <c r="F123" s="4" t="s">
        <v>2037</v>
      </c>
      <c r="G123" t="s">
        <v>171</v>
      </c>
      <c r="H123" t="s">
        <v>475</v>
      </c>
      <c r="I123" t="s">
        <v>476</v>
      </c>
      <c r="J123" t="s">
        <v>23</v>
      </c>
      <c r="K123" s="5" t="s">
        <v>1924</v>
      </c>
      <c r="L123" s="5" t="str">
        <f t="shared" si="1"/>
        <v>Wilmington</v>
      </c>
      <c r="M123" t="s">
        <v>222</v>
      </c>
      <c r="N123">
        <v>19805</v>
      </c>
      <c r="O123" t="s">
        <v>133</v>
      </c>
      <c r="P123" t="s">
        <v>479</v>
      </c>
      <c r="Q123" t="s">
        <v>40</v>
      </c>
      <c r="R123" t="s">
        <v>52</v>
      </c>
      <c r="S123" t="s">
        <v>480</v>
      </c>
      <c r="T123">
        <v>226.56</v>
      </c>
      <c r="U123">
        <v>6</v>
      </c>
      <c r="V123">
        <v>0</v>
      </c>
      <c r="W123">
        <v>63.436800000000005</v>
      </c>
    </row>
    <row r="124" spans="1:23" x14ac:dyDescent="0.3">
      <c r="A124">
        <v>123</v>
      </c>
      <c r="B124" t="s">
        <v>474</v>
      </c>
      <c r="C124" s="2">
        <v>42533</v>
      </c>
      <c r="D124" s="2" t="str">
        <f>LEFT(orders[[#This Row],[Ship Date]],FIND("0",F124)-1)</f>
        <v>6</v>
      </c>
      <c r="E124" s="2" t="str">
        <f>RIGHT(orders[[#This Row],[Ship Date]],4)</f>
        <v>2016</v>
      </c>
      <c r="F124" s="4" t="s">
        <v>2037</v>
      </c>
      <c r="G124" t="s">
        <v>171</v>
      </c>
      <c r="H124" t="s">
        <v>475</v>
      </c>
      <c r="I124" t="s">
        <v>476</v>
      </c>
      <c r="J124" t="s">
        <v>23</v>
      </c>
      <c r="K124" s="5" t="s">
        <v>1924</v>
      </c>
      <c r="L124" s="5" t="str">
        <f t="shared" si="1"/>
        <v>Wilmington</v>
      </c>
      <c r="M124" t="s">
        <v>222</v>
      </c>
      <c r="N124">
        <v>19805</v>
      </c>
      <c r="O124" t="s">
        <v>133</v>
      </c>
      <c r="P124" t="s">
        <v>481</v>
      </c>
      <c r="Q124" t="s">
        <v>40</v>
      </c>
      <c r="R124" t="s">
        <v>157</v>
      </c>
      <c r="S124" t="s">
        <v>482</v>
      </c>
      <c r="T124">
        <v>115.02</v>
      </c>
      <c r="U124">
        <v>9</v>
      </c>
      <c r="V124">
        <v>0</v>
      </c>
      <c r="W124">
        <v>51.758999999999993</v>
      </c>
    </row>
    <row r="125" spans="1:23" x14ac:dyDescent="0.3">
      <c r="A125">
        <v>124</v>
      </c>
      <c r="B125" t="s">
        <v>474</v>
      </c>
      <c r="C125" s="2">
        <v>42533</v>
      </c>
      <c r="D125" s="2" t="str">
        <f>LEFT(orders[[#This Row],[Ship Date]],FIND("0",F125)-1)</f>
        <v>6</v>
      </c>
      <c r="E125" s="2" t="str">
        <f>RIGHT(orders[[#This Row],[Ship Date]],4)</f>
        <v>2016</v>
      </c>
      <c r="F125" s="4" t="s">
        <v>2037</v>
      </c>
      <c r="G125" t="s">
        <v>171</v>
      </c>
      <c r="H125" t="s">
        <v>475</v>
      </c>
      <c r="I125" t="s">
        <v>476</v>
      </c>
      <c r="J125" t="s">
        <v>23</v>
      </c>
      <c r="K125" s="5" t="s">
        <v>1924</v>
      </c>
      <c r="L125" s="5" t="str">
        <f t="shared" si="1"/>
        <v>Wilmington</v>
      </c>
      <c r="M125" t="s">
        <v>222</v>
      </c>
      <c r="N125">
        <v>19805</v>
      </c>
      <c r="O125" t="s">
        <v>133</v>
      </c>
      <c r="P125" t="s">
        <v>483</v>
      </c>
      <c r="Q125" t="s">
        <v>64</v>
      </c>
      <c r="R125" t="s">
        <v>65</v>
      </c>
      <c r="S125" t="s">
        <v>484</v>
      </c>
      <c r="T125">
        <v>68.040000000000006</v>
      </c>
      <c r="U125">
        <v>7</v>
      </c>
      <c r="V125">
        <v>0</v>
      </c>
      <c r="W125">
        <v>19.731599999999997</v>
      </c>
    </row>
    <row r="126" spans="1:23" x14ac:dyDescent="0.3">
      <c r="A126">
        <v>125</v>
      </c>
      <c r="B126" t="s">
        <v>485</v>
      </c>
      <c r="C126" s="2">
        <v>41999</v>
      </c>
      <c r="D126" s="2" t="str">
        <f>LEFT(orders[[#This Row],[Ship Date]],FIND("0",F126)-1)</f>
        <v>12</v>
      </c>
      <c r="E126" s="2" t="str">
        <f>RIGHT(orders[[#This Row],[Ship Date]],4)</f>
        <v>2014</v>
      </c>
      <c r="F126" s="4" t="s">
        <v>2060</v>
      </c>
      <c r="G126" t="s">
        <v>20</v>
      </c>
      <c r="H126" t="s">
        <v>486</v>
      </c>
      <c r="I126" t="s">
        <v>487</v>
      </c>
      <c r="J126" t="s">
        <v>93</v>
      </c>
      <c r="K126" s="5" t="s">
        <v>1896</v>
      </c>
      <c r="L126" s="5" t="str">
        <f t="shared" si="1"/>
        <v>Houston</v>
      </c>
      <c r="M126" t="s">
        <v>94</v>
      </c>
      <c r="N126">
        <v>77041</v>
      </c>
      <c r="O126" t="s">
        <v>95</v>
      </c>
      <c r="P126" t="s">
        <v>488</v>
      </c>
      <c r="Q126" t="s">
        <v>27</v>
      </c>
      <c r="R126" t="s">
        <v>31</v>
      </c>
      <c r="S126" t="s">
        <v>489</v>
      </c>
      <c r="T126">
        <v>600.55799999999999</v>
      </c>
      <c r="U126">
        <v>3</v>
      </c>
      <c r="V126">
        <v>0.3</v>
      </c>
      <c r="W126">
        <v>-8.5794000000000779</v>
      </c>
    </row>
    <row r="127" spans="1:23" x14ac:dyDescent="0.3">
      <c r="A127">
        <v>126</v>
      </c>
      <c r="B127" t="s">
        <v>490</v>
      </c>
      <c r="C127" s="2">
        <v>41902</v>
      </c>
      <c r="D127" s="2" t="str">
        <f>LEFT(orders[[#This Row],[Ship Date]],FIND("0",F127)-1)</f>
        <v>9</v>
      </c>
      <c r="E127" s="2" t="str">
        <f>RIGHT(orders[[#This Row],[Ship Date]],4)</f>
        <v>2014</v>
      </c>
      <c r="F127" s="4" t="s">
        <v>2061</v>
      </c>
      <c r="G127" t="s">
        <v>44</v>
      </c>
      <c r="H127" t="s">
        <v>491</v>
      </c>
      <c r="I127" t="s">
        <v>492</v>
      </c>
      <c r="J127" t="s">
        <v>23</v>
      </c>
      <c r="K127" s="5" t="s">
        <v>1925</v>
      </c>
      <c r="L127" s="5" t="str">
        <f t="shared" si="1"/>
        <v>Bloomington</v>
      </c>
      <c r="M127" t="s">
        <v>192</v>
      </c>
      <c r="N127">
        <v>61701</v>
      </c>
      <c r="O127" t="s">
        <v>95</v>
      </c>
      <c r="P127" t="s">
        <v>493</v>
      </c>
      <c r="Q127" t="s">
        <v>27</v>
      </c>
      <c r="R127" t="s">
        <v>49</v>
      </c>
      <c r="S127" t="s">
        <v>494</v>
      </c>
      <c r="T127">
        <v>617.70000000000005</v>
      </c>
      <c r="U127">
        <v>6</v>
      </c>
      <c r="V127">
        <v>0.5</v>
      </c>
      <c r="W127">
        <v>-407.68200000000013</v>
      </c>
    </row>
    <row r="128" spans="1:23" x14ac:dyDescent="0.3">
      <c r="A128">
        <v>127</v>
      </c>
      <c r="B128" t="s">
        <v>495</v>
      </c>
      <c r="C128" s="2">
        <v>43044</v>
      </c>
      <c r="D128" s="2" t="str">
        <f>LEFT(orders[[#This Row],[Ship Date]],FIND("0",F128)-1)</f>
        <v>11</v>
      </c>
      <c r="E128" s="2" t="str">
        <f>RIGHT(orders[[#This Row],[Ship Date]],4)</f>
        <v>2017</v>
      </c>
      <c r="F128" s="4" t="s">
        <v>2046</v>
      </c>
      <c r="G128" t="s">
        <v>44</v>
      </c>
      <c r="H128" t="s">
        <v>496</v>
      </c>
      <c r="I128" t="s">
        <v>497</v>
      </c>
      <c r="J128" t="s">
        <v>23</v>
      </c>
      <c r="K128" s="5" t="s">
        <v>1926</v>
      </c>
      <c r="L128" s="5" t="str">
        <f t="shared" si="1"/>
        <v>Phoenix</v>
      </c>
      <c r="M128" t="s">
        <v>282</v>
      </c>
      <c r="N128">
        <v>85023</v>
      </c>
      <c r="O128" t="s">
        <v>38</v>
      </c>
      <c r="P128" t="s">
        <v>498</v>
      </c>
      <c r="Q128" t="s">
        <v>40</v>
      </c>
      <c r="R128" t="s">
        <v>68</v>
      </c>
      <c r="S128" t="s">
        <v>499</v>
      </c>
      <c r="T128">
        <v>2.3880000000000003</v>
      </c>
      <c r="U128">
        <v>2</v>
      </c>
      <c r="V128">
        <v>0.7</v>
      </c>
      <c r="W128">
        <v>-1.8308</v>
      </c>
    </row>
    <row r="129" spans="1:23" x14ac:dyDescent="0.3">
      <c r="A129">
        <v>128</v>
      </c>
      <c r="B129" t="s">
        <v>495</v>
      </c>
      <c r="C129" s="2">
        <v>43044</v>
      </c>
      <c r="D129" s="2" t="str">
        <f>LEFT(orders[[#This Row],[Ship Date]],FIND("0",F129)-1)</f>
        <v>11</v>
      </c>
      <c r="E129" s="2" t="str">
        <f>RIGHT(orders[[#This Row],[Ship Date]],4)</f>
        <v>2017</v>
      </c>
      <c r="F129" s="4" t="s">
        <v>2046</v>
      </c>
      <c r="G129" t="s">
        <v>44</v>
      </c>
      <c r="H129" t="s">
        <v>496</v>
      </c>
      <c r="I129" t="s">
        <v>497</v>
      </c>
      <c r="J129" t="s">
        <v>23</v>
      </c>
      <c r="K129" s="5" t="s">
        <v>1926</v>
      </c>
      <c r="L129" s="5" t="str">
        <f t="shared" si="1"/>
        <v>Phoenix</v>
      </c>
      <c r="M129" t="s">
        <v>282</v>
      </c>
      <c r="N129">
        <v>85023</v>
      </c>
      <c r="O129" t="s">
        <v>38</v>
      </c>
      <c r="P129" t="s">
        <v>500</v>
      </c>
      <c r="Q129" t="s">
        <v>40</v>
      </c>
      <c r="R129" t="s">
        <v>52</v>
      </c>
      <c r="S129" t="s">
        <v>501</v>
      </c>
      <c r="T129">
        <v>243.99200000000002</v>
      </c>
      <c r="U129">
        <v>7</v>
      </c>
      <c r="V129">
        <v>0.2</v>
      </c>
      <c r="W129">
        <v>30.498999999999981</v>
      </c>
    </row>
    <row r="130" spans="1:23" x14ac:dyDescent="0.3">
      <c r="A130">
        <v>129</v>
      </c>
      <c r="B130" t="s">
        <v>502</v>
      </c>
      <c r="C130" s="2">
        <v>42680</v>
      </c>
      <c r="D130" s="2" t="str">
        <f>LEFT(orders[[#This Row],[Ship Date]],FIND("0",F130)-1)</f>
        <v>11</v>
      </c>
      <c r="E130" s="2" t="str">
        <f>RIGHT(orders[[#This Row],[Ship Date]],4)</f>
        <v>2016</v>
      </c>
      <c r="F130" s="4" t="s">
        <v>2056</v>
      </c>
      <c r="G130" t="s">
        <v>20</v>
      </c>
      <c r="H130" t="s">
        <v>503</v>
      </c>
      <c r="I130" t="s">
        <v>504</v>
      </c>
      <c r="J130" t="s">
        <v>93</v>
      </c>
      <c r="K130" s="5" t="s">
        <v>1885</v>
      </c>
      <c r="L130" s="5" t="str">
        <f t="shared" ref="L130:L193" si="2">_xlfn.TEXTAFTER(K130,",")</f>
        <v>Los Angeles</v>
      </c>
      <c r="M130" t="s">
        <v>37</v>
      </c>
      <c r="N130">
        <v>90004</v>
      </c>
      <c r="O130" t="s">
        <v>38</v>
      </c>
      <c r="P130" t="s">
        <v>277</v>
      </c>
      <c r="Q130" t="s">
        <v>27</v>
      </c>
      <c r="R130" t="s">
        <v>31</v>
      </c>
      <c r="S130" t="s">
        <v>505</v>
      </c>
      <c r="T130">
        <v>81.424000000000007</v>
      </c>
      <c r="U130">
        <v>2</v>
      </c>
      <c r="V130">
        <v>0.2</v>
      </c>
      <c r="W130">
        <v>-9.1601999999999961</v>
      </c>
    </row>
    <row r="131" spans="1:23" x14ac:dyDescent="0.3">
      <c r="A131">
        <v>130</v>
      </c>
      <c r="B131" t="s">
        <v>502</v>
      </c>
      <c r="C131" s="2">
        <v>42680</v>
      </c>
      <c r="D131" s="2" t="str">
        <f>LEFT(orders[[#This Row],[Ship Date]],FIND("0",F131)-1)</f>
        <v>11</v>
      </c>
      <c r="E131" s="2" t="str">
        <f>RIGHT(orders[[#This Row],[Ship Date]],4)</f>
        <v>2016</v>
      </c>
      <c r="F131" s="4" t="s">
        <v>2056</v>
      </c>
      <c r="G131" t="s">
        <v>20</v>
      </c>
      <c r="H131" t="s">
        <v>503</v>
      </c>
      <c r="I131" t="s">
        <v>504</v>
      </c>
      <c r="J131" t="s">
        <v>93</v>
      </c>
      <c r="K131" s="5" t="s">
        <v>1885</v>
      </c>
      <c r="L131" s="5" t="str">
        <f t="shared" si="2"/>
        <v>Los Angeles</v>
      </c>
      <c r="M131" t="s">
        <v>37</v>
      </c>
      <c r="N131">
        <v>90004</v>
      </c>
      <c r="O131" t="s">
        <v>38</v>
      </c>
      <c r="P131" t="s">
        <v>506</v>
      </c>
      <c r="Q131" t="s">
        <v>27</v>
      </c>
      <c r="R131" t="s">
        <v>58</v>
      </c>
      <c r="S131" t="s">
        <v>507</v>
      </c>
      <c r="T131">
        <v>238.56</v>
      </c>
      <c r="U131">
        <v>3</v>
      </c>
      <c r="V131">
        <v>0</v>
      </c>
      <c r="W131">
        <v>26.241599999999977</v>
      </c>
    </row>
    <row r="132" spans="1:23" x14ac:dyDescent="0.3">
      <c r="A132">
        <v>131</v>
      </c>
      <c r="B132" t="s">
        <v>508</v>
      </c>
      <c r="C132" s="2">
        <v>42768</v>
      </c>
      <c r="D132" s="2" t="str">
        <f>LEFT(orders[[#This Row],[Ship Date]],FIND("0",F132)-1)</f>
        <v>2</v>
      </c>
      <c r="E132" s="2" t="str">
        <f>RIGHT(orders[[#This Row],[Ship Date]],4)</f>
        <v>2017</v>
      </c>
      <c r="F132" s="4" t="s">
        <v>2062</v>
      </c>
      <c r="G132" t="s">
        <v>171</v>
      </c>
      <c r="H132" t="s">
        <v>509</v>
      </c>
      <c r="I132" t="s">
        <v>510</v>
      </c>
      <c r="J132" t="s">
        <v>36</v>
      </c>
      <c r="K132" s="5" t="s">
        <v>1922</v>
      </c>
      <c r="L132" s="5" t="str">
        <f t="shared" si="2"/>
        <v>Columbus</v>
      </c>
      <c r="M132" t="s">
        <v>455</v>
      </c>
      <c r="N132">
        <v>43229</v>
      </c>
      <c r="O132" t="s">
        <v>133</v>
      </c>
      <c r="P132" t="s">
        <v>511</v>
      </c>
      <c r="Q132" t="s">
        <v>64</v>
      </c>
      <c r="R132" t="s">
        <v>65</v>
      </c>
      <c r="S132" t="s">
        <v>512</v>
      </c>
      <c r="T132">
        <v>59.969999999999992</v>
      </c>
      <c r="U132">
        <v>5</v>
      </c>
      <c r="V132">
        <v>0.4</v>
      </c>
      <c r="W132">
        <v>-11.993999999999993</v>
      </c>
    </row>
    <row r="133" spans="1:23" x14ac:dyDescent="0.3">
      <c r="A133">
        <v>132</v>
      </c>
      <c r="B133" t="s">
        <v>508</v>
      </c>
      <c r="C133" s="2">
        <v>42768</v>
      </c>
      <c r="D133" s="2" t="str">
        <f>LEFT(orders[[#This Row],[Ship Date]],FIND("0",F133)-1)</f>
        <v>2</v>
      </c>
      <c r="E133" s="2" t="str">
        <f>RIGHT(orders[[#This Row],[Ship Date]],4)</f>
        <v>2017</v>
      </c>
      <c r="F133" s="4" t="s">
        <v>2062</v>
      </c>
      <c r="G133" t="s">
        <v>171</v>
      </c>
      <c r="H133" t="s">
        <v>509</v>
      </c>
      <c r="I133" t="s">
        <v>510</v>
      </c>
      <c r="J133" t="s">
        <v>36</v>
      </c>
      <c r="K133" s="5" t="s">
        <v>1922</v>
      </c>
      <c r="L133" s="5" t="str">
        <f t="shared" si="2"/>
        <v>Columbus</v>
      </c>
      <c r="M133" t="s">
        <v>455</v>
      </c>
      <c r="N133">
        <v>43229</v>
      </c>
      <c r="O133" t="s">
        <v>133</v>
      </c>
      <c r="P133" t="s">
        <v>513</v>
      </c>
      <c r="Q133" t="s">
        <v>40</v>
      </c>
      <c r="R133" t="s">
        <v>82</v>
      </c>
      <c r="S133" t="s">
        <v>514</v>
      </c>
      <c r="T133">
        <v>78.304000000000002</v>
      </c>
      <c r="U133">
        <v>2</v>
      </c>
      <c r="V133">
        <v>0.2</v>
      </c>
      <c r="W133">
        <v>29.363999999999997</v>
      </c>
    </row>
    <row r="134" spans="1:23" x14ac:dyDescent="0.3">
      <c r="A134">
        <v>133</v>
      </c>
      <c r="B134" t="s">
        <v>508</v>
      </c>
      <c r="C134" s="2">
        <v>42768</v>
      </c>
      <c r="D134" s="2" t="str">
        <f>LEFT(orders[[#This Row],[Ship Date]],FIND("0",F134)-1)</f>
        <v>2</v>
      </c>
      <c r="E134" s="2" t="str">
        <f>RIGHT(orders[[#This Row],[Ship Date]],4)</f>
        <v>2017</v>
      </c>
      <c r="F134" s="4" t="s">
        <v>2062</v>
      </c>
      <c r="G134" t="s">
        <v>171</v>
      </c>
      <c r="H134" t="s">
        <v>509</v>
      </c>
      <c r="I134" t="s">
        <v>510</v>
      </c>
      <c r="J134" t="s">
        <v>36</v>
      </c>
      <c r="K134" s="5" t="s">
        <v>1922</v>
      </c>
      <c r="L134" s="5" t="str">
        <f t="shared" si="2"/>
        <v>Columbus</v>
      </c>
      <c r="M134" t="s">
        <v>455</v>
      </c>
      <c r="N134">
        <v>43229</v>
      </c>
      <c r="O134" t="s">
        <v>133</v>
      </c>
      <c r="P134" t="s">
        <v>515</v>
      </c>
      <c r="Q134" t="s">
        <v>40</v>
      </c>
      <c r="R134" t="s">
        <v>244</v>
      </c>
      <c r="S134" t="s">
        <v>516</v>
      </c>
      <c r="T134">
        <v>21.456</v>
      </c>
      <c r="U134">
        <v>9</v>
      </c>
      <c r="V134">
        <v>0.2</v>
      </c>
      <c r="W134">
        <v>6.9731999999999976</v>
      </c>
    </row>
    <row r="135" spans="1:23" x14ac:dyDescent="0.3">
      <c r="A135">
        <v>134</v>
      </c>
      <c r="B135" t="s">
        <v>517</v>
      </c>
      <c r="C135" s="2">
        <v>42656</v>
      </c>
      <c r="D135" s="2" t="str">
        <f>LEFT(orders[[#This Row],[Ship Date]],FIND("0",F135)-1)</f>
        <v>1</v>
      </c>
      <c r="E135" s="2" t="str">
        <f>RIGHT(orders[[#This Row],[Ship Date]],4)</f>
        <v>2016</v>
      </c>
      <c r="F135" s="4" t="s">
        <v>2063</v>
      </c>
      <c r="G135" t="s">
        <v>44</v>
      </c>
      <c r="H135" t="s">
        <v>518</v>
      </c>
      <c r="I135" t="s">
        <v>519</v>
      </c>
      <c r="J135" t="s">
        <v>23</v>
      </c>
      <c r="K135" s="5" t="s">
        <v>1927</v>
      </c>
      <c r="L135" s="5" t="str">
        <f t="shared" si="2"/>
        <v>Roseville</v>
      </c>
      <c r="M135" t="s">
        <v>37</v>
      </c>
      <c r="N135">
        <v>95661</v>
      </c>
      <c r="O135" t="s">
        <v>38</v>
      </c>
      <c r="P135" t="s">
        <v>520</v>
      </c>
      <c r="Q135" t="s">
        <v>40</v>
      </c>
      <c r="R135" t="s">
        <v>82</v>
      </c>
      <c r="S135" t="s">
        <v>521</v>
      </c>
      <c r="T135">
        <v>20.04</v>
      </c>
      <c r="U135">
        <v>3</v>
      </c>
      <c r="V135">
        <v>0</v>
      </c>
      <c r="W135">
        <v>9.6191999999999993</v>
      </c>
    </row>
    <row r="136" spans="1:23" x14ac:dyDescent="0.3">
      <c r="A136">
        <v>135</v>
      </c>
      <c r="B136" t="s">
        <v>517</v>
      </c>
      <c r="C136" s="2">
        <v>42656</v>
      </c>
      <c r="D136" s="2" t="str">
        <f>LEFT(orders[[#This Row],[Ship Date]],FIND("0",F136)-1)</f>
        <v>1</v>
      </c>
      <c r="E136" s="2" t="str">
        <f>RIGHT(orders[[#This Row],[Ship Date]],4)</f>
        <v>2016</v>
      </c>
      <c r="F136" s="4" t="s">
        <v>2063</v>
      </c>
      <c r="G136" t="s">
        <v>44</v>
      </c>
      <c r="H136" t="s">
        <v>518</v>
      </c>
      <c r="I136" t="s">
        <v>519</v>
      </c>
      <c r="J136" t="s">
        <v>23</v>
      </c>
      <c r="K136" s="5" t="s">
        <v>1927</v>
      </c>
      <c r="L136" s="5" t="str">
        <f t="shared" si="2"/>
        <v>Roseville</v>
      </c>
      <c r="M136" t="s">
        <v>37</v>
      </c>
      <c r="N136">
        <v>95661</v>
      </c>
      <c r="O136" t="s">
        <v>38</v>
      </c>
      <c r="P136" t="s">
        <v>522</v>
      </c>
      <c r="Q136" t="s">
        <v>40</v>
      </c>
      <c r="R136" t="s">
        <v>82</v>
      </c>
      <c r="S136" t="s">
        <v>523</v>
      </c>
      <c r="T136">
        <v>35.44</v>
      </c>
      <c r="U136">
        <v>1</v>
      </c>
      <c r="V136">
        <v>0</v>
      </c>
      <c r="W136">
        <v>16.656799999999997</v>
      </c>
    </row>
    <row r="137" spans="1:23" x14ac:dyDescent="0.3">
      <c r="A137">
        <v>136</v>
      </c>
      <c r="B137" t="s">
        <v>517</v>
      </c>
      <c r="C137" s="2">
        <v>42656</v>
      </c>
      <c r="D137" s="2" t="str">
        <f>LEFT(orders[[#This Row],[Ship Date]],FIND("0",F137)-1)</f>
        <v>1</v>
      </c>
      <c r="E137" s="2" t="str">
        <f>RIGHT(orders[[#This Row],[Ship Date]],4)</f>
        <v>2016</v>
      </c>
      <c r="F137" s="4" t="s">
        <v>2063</v>
      </c>
      <c r="G137" t="s">
        <v>44</v>
      </c>
      <c r="H137" t="s">
        <v>518</v>
      </c>
      <c r="I137" t="s">
        <v>519</v>
      </c>
      <c r="J137" t="s">
        <v>23</v>
      </c>
      <c r="K137" s="5" t="s">
        <v>1927</v>
      </c>
      <c r="L137" s="5" t="str">
        <f t="shared" si="2"/>
        <v>Roseville</v>
      </c>
      <c r="M137" t="s">
        <v>37</v>
      </c>
      <c r="N137">
        <v>95661</v>
      </c>
      <c r="O137" t="s">
        <v>38</v>
      </c>
      <c r="P137" t="s">
        <v>524</v>
      </c>
      <c r="Q137" t="s">
        <v>40</v>
      </c>
      <c r="R137" t="s">
        <v>61</v>
      </c>
      <c r="S137" t="s">
        <v>525</v>
      </c>
      <c r="T137">
        <v>11.52</v>
      </c>
      <c r="U137">
        <v>4</v>
      </c>
      <c r="V137">
        <v>0</v>
      </c>
      <c r="W137">
        <v>3.4559999999999995</v>
      </c>
    </row>
    <row r="138" spans="1:23" x14ac:dyDescent="0.3">
      <c r="A138">
        <v>137</v>
      </c>
      <c r="B138" t="s">
        <v>517</v>
      </c>
      <c r="C138" s="2">
        <v>42656</v>
      </c>
      <c r="D138" s="2" t="str">
        <f>LEFT(orders[[#This Row],[Ship Date]],FIND("0",F138)-1)</f>
        <v>1</v>
      </c>
      <c r="E138" s="2" t="str">
        <f>RIGHT(orders[[#This Row],[Ship Date]],4)</f>
        <v>2016</v>
      </c>
      <c r="F138" s="4" t="s">
        <v>2063</v>
      </c>
      <c r="G138" t="s">
        <v>44</v>
      </c>
      <c r="H138" t="s">
        <v>518</v>
      </c>
      <c r="I138" t="s">
        <v>519</v>
      </c>
      <c r="J138" t="s">
        <v>23</v>
      </c>
      <c r="K138" s="5" t="s">
        <v>1927</v>
      </c>
      <c r="L138" s="5" t="str">
        <f t="shared" si="2"/>
        <v>Roseville</v>
      </c>
      <c r="M138" t="s">
        <v>37</v>
      </c>
      <c r="N138">
        <v>95661</v>
      </c>
      <c r="O138" t="s">
        <v>38</v>
      </c>
      <c r="P138" t="s">
        <v>526</v>
      </c>
      <c r="Q138" t="s">
        <v>40</v>
      </c>
      <c r="R138" t="s">
        <v>244</v>
      </c>
      <c r="S138" t="s">
        <v>527</v>
      </c>
      <c r="T138">
        <v>4.0199999999999996</v>
      </c>
      <c r="U138">
        <v>2</v>
      </c>
      <c r="V138">
        <v>0</v>
      </c>
      <c r="W138">
        <v>1.9697999999999998</v>
      </c>
    </row>
    <row r="139" spans="1:23" x14ac:dyDescent="0.3">
      <c r="A139">
        <v>138</v>
      </c>
      <c r="B139" t="s">
        <v>517</v>
      </c>
      <c r="C139" s="2">
        <v>42656</v>
      </c>
      <c r="D139" s="2" t="str">
        <f>LEFT(orders[[#This Row],[Ship Date]],FIND("0",F139)-1)</f>
        <v>1</v>
      </c>
      <c r="E139" s="2" t="str">
        <f>RIGHT(orders[[#This Row],[Ship Date]],4)</f>
        <v>2016</v>
      </c>
      <c r="F139" s="4" t="s">
        <v>2063</v>
      </c>
      <c r="G139" t="s">
        <v>44</v>
      </c>
      <c r="H139" t="s">
        <v>518</v>
      </c>
      <c r="I139" t="s">
        <v>519</v>
      </c>
      <c r="J139" t="s">
        <v>23</v>
      </c>
      <c r="K139" s="5" t="s">
        <v>1927</v>
      </c>
      <c r="L139" s="5" t="str">
        <f t="shared" si="2"/>
        <v>Roseville</v>
      </c>
      <c r="M139" t="s">
        <v>37</v>
      </c>
      <c r="N139">
        <v>95661</v>
      </c>
      <c r="O139" t="s">
        <v>38</v>
      </c>
      <c r="P139" t="s">
        <v>528</v>
      </c>
      <c r="Q139" t="s">
        <v>40</v>
      </c>
      <c r="R139" t="s">
        <v>68</v>
      </c>
      <c r="S139" t="s">
        <v>529</v>
      </c>
      <c r="T139">
        <v>76.176000000000002</v>
      </c>
      <c r="U139">
        <v>3</v>
      </c>
      <c r="V139">
        <v>0.2</v>
      </c>
      <c r="W139">
        <v>26.661599999999996</v>
      </c>
    </row>
    <row r="140" spans="1:23" x14ac:dyDescent="0.3">
      <c r="A140">
        <v>139</v>
      </c>
      <c r="B140" t="s">
        <v>517</v>
      </c>
      <c r="C140" s="2">
        <v>42656</v>
      </c>
      <c r="D140" s="2" t="str">
        <f>LEFT(orders[[#This Row],[Ship Date]],FIND("0",F140)-1)</f>
        <v>1</v>
      </c>
      <c r="E140" s="2" t="str">
        <f>RIGHT(orders[[#This Row],[Ship Date]],4)</f>
        <v>2016</v>
      </c>
      <c r="F140" s="4" t="s">
        <v>2063</v>
      </c>
      <c r="G140" t="s">
        <v>44</v>
      </c>
      <c r="H140" t="s">
        <v>518</v>
      </c>
      <c r="I140" t="s">
        <v>519</v>
      </c>
      <c r="J140" t="s">
        <v>23</v>
      </c>
      <c r="K140" s="5" t="s">
        <v>1927</v>
      </c>
      <c r="L140" s="5" t="str">
        <f t="shared" si="2"/>
        <v>Roseville</v>
      </c>
      <c r="M140" t="s">
        <v>37</v>
      </c>
      <c r="N140">
        <v>95661</v>
      </c>
      <c r="O140" t="s">
        <v>38</v>
      </c>
      <c r="P140" t="s">
        <v>530</v>
      </c>
      <c r="Q140" t="s">
        <v>40</v>
      </c>
      <c r="R140" t="s">
        <v>531</v>
      </c>
      <c r="S140" t="s">
        <v>532</v>
      </c>
      <c r="T140">
        <v>65.88</v>
      </c>
      <c r="U140">
        <v>6</v>
      </c>
      <c r="V140">
        <v>0</v>
      </c>
      <c r="W140">
        <v>18.446400000000004</v>
      </c>
    </row>
    <row r="141" spans="1:23" x14ac:dyDescent="0.3">
      <c r="A141">
        <v>140</v>
      </c>
      <c r="B141" t="s">
        <v>517</v>
      </c>
      <c r="C141" s="2">
        <v>42656</v>
      </c>
      <c r="D141" s="2" t="str">
        <f>LEFT(orders[[#This Row],[Ship Date]],FIND("0",F141)-1)</f>
        <v>1</v>
      </c>
      <c r="E141" s="2" t="str">
        <f>RIGHT(orders[[#This Row],[Ship Date]],4)</f>
        <v>2016</v>
      </c>
      <c r="F141" s="4" t="s">
        <v>2063</v>
      </c>
      <c r="G141" t="s">
        <v>44</v>
      </c>
      <c r="H141" t="s">
        <v>518</v>
      </c>
      <c r="I141" t="s">
        <v>519</v>
      </c>
      <c r="J141" t="s">
        <v>23</v>
      </c>
      <c r="K141" s="5" t="s">
        <v>1927</v>
      </c>
      <c r="L141" s="5" t="str">
        <f t="shared" si="2"/>
        <v>Roseville</v>
      </c>
      <c r="M141" t="s">
        <v>37</v>
      </c>
      <c r="N141">
        <v>95661</v>
      </c>
      <c r="O141" t="s">
        <v>38</v>
      </c>
      <c r="P141" t="s">
        <v>235</v>
      </c>
      <c r="Q141" t="s">
        <v>27</v>
      </c>
      <c r="R141" t="s">
        <v>58</v>
      </c>
      <c r="S141" t="s">
        <v>236</v>
      </c>
      <c r="T141">
        <v>43.120000000000005</v>
      </c>
      <c r="U141">
        <v>14</v>
      </c>
      <c r="V141">
        <v>0</v>
      </c>
      <c r="W141">
        <v>20.697599999999998</v>
      </c>
    </row>
    <row r="142" spans="1:23" x14ac:dyDescent="0.3">
      <c r="A142">
        <v>141</v>
      </c>
      <c r="B142" t="s">
        <v>533</v>
      </c>
      <c r="C142" s="2">
        <v>42618</v>
      </c>
      <c r="D142" s="2" t="str">
        <f>LEFT(orders[[#This Row],[Ship Date]],FIND("0",F142)-1)</f>
        <v>9</v>
      </c>
      <c r="E142" s="2" t="str">
        <f>RIGHT(orders[[#This Row],[Ship Date]],4)</f>
        <v>2016</v>
      </c>
      <c r="F142" s="4" t="s">
        <v>2064</v>
      </c>
      <c r="G142" t="s">
        <v>20</v>
      </c>
      <c r="H142" t="s">
        <v>534</v>
      </c>
      <c r="I142" t="s">
        <v>535</v>
      </c>
      <c r="J142" t="s">
        <v>36</v>
      </c>
      <c r="K142" s="5" t="s">
        <v>1894</v>
      </c>
      <c r="L142" s="5" t="str">
        <f t="shared" si="2"/>
        <v>Philadelphia</v>
      </c>
      <c r="M142" t="s">
        <v>132</v>
      </c>
      <c r="N142">
        <v>19140</v>
      </c>
      <c r="O142" t="s">
        <v>133</v>
      </c>
      <c r="P142" t="s">
        <v>154</v>
      </c>
      <c r="Q142" t="s">
        <v>27</v>
      </c>
      <c r="R142" t="s">
        <v>58</v>
      </c>
      <c r="S142" t="s">
        <v>155</v>
      </c>
      <c r="T142">
        <v>82.800000000000011</v>
      </c>
      <c r="U142">
        <v>2</v>
      </c>
      <c r="V142">
        <v>0.2</v>
      </c>
      <c r="W142">
        <v>10.349999999999994</v>
      </c>
    </row>
    <row r="143" spans="1:23" x14ac:dyDescent="0.3">
      <c r="A143">
        <v>142</v>
      </c>
      <c r="B143" t="s">
        <v>536</v>
      </c>
      <c r="C143" s="2">
        <v>42996</v>
      </c>
      <c r="D143" s="2" t="str">
        <f>LEFT(orders[[#This Row],[Ship Date]],FIND("0",F143)-1)</f>
        <v>9</v>
      </c>
      <c r="E143" s="2" t="str">
        <f>RIGHT(orders[[#This Row],[Ship Date]],4)</f>
        <v>2017</v>
      </c>
      <c r="F143" s="4" t="s">
        <v>2021</v>
      </c>
      <c r="G143" t="s">
        <v>44</v>
      </c>
      <c r="H143" t="s">
        <v>537</v>
      </c>
      <c r="I143" t="s">
        <v>538</v>
      </c>
      <c r="J143" t="s">
        <v>36</v>
      </c>
      <c r="K143" s="5" t="s">
        <v>1892</v>
      </c>
      <c r="L143" s="5" t="str">
        <f t="shared" si="2"/>
        <v>San Francisco</v>
      </c>
      <c r="M143" t="s">
        <v>37</v>
      </c>
      <c r="N143">
        <v>94122</v>
      </c>
      <c r="O143" t="s">
        <v>38</v>
      </c>
      <c r="P143" t="s">
        <v>539</v>
      </c>
      <c r="Q143" t="s">
        <v>40</v>
      </c>
      <c r="R143" t="s">
        <v>61</v>
      </c>
      <c r="S143" t="s">
        <v>540</v>
      </c>
      <c r="T143">
        <v>8.82</v>
      </c>
      <c r="U143">
        <v>3</v>
      </c>
      <c r="V143">
        <v>0</v>
      </c>
      <c r="W143">
        <v>2.3814000000000002</v>
      </c>
    </row>
    <row r="144" spans="1:23" x14ac:dyDescent="0.3">
      <c r="A144">
        <v>143</v>
      </c>
      <c r="B144" t="s">
        <v>536</v>
      </c>
      <c r="C144" s="2">
        <v>42996</v>
      </c>
      <c r="D144" s="2" t="str">
        <f>LEFT(orders[[#This Row],[Ship Date]],FIND("0",F144)-1)</f>
        <v>9</v>
      </c>
      <c r="E144" s="2" t="str">
        <f>RIGHT(orders[[#This Row],[Ship Date]],4)</f>
        <v>2017</v>
      </c>
      <c r="F144" s="4" t="s">
        <v>2021</v>
      </c>
      <c r="G144" t="s">
        <v>44</v>
      </c>
      <c r="H144" t="s">
        <v>537</v>
      </c>
      <c r="I144" t="s">
        <v>538</v>
      </c>
      <c r="J144" t="s">
        <v>36</v>
      </c>
      <c r="K144" s="5" t="s">
        <v>1892</v>
      </c>
      <c r="L144" s="5" t="str">
        <f t="shared" si="2"/>
        <v>San Francisco</v>
      </c>
      <c r="M144" t="s">
        <v>37</v>
      </c>
      <c r="N144">
        <v>94122</v>
      </c>
      <c r="O144" t="s">
        <v>38</v>
      </c>
      <c r="P144" t="s">
        <v>541</v>
      </c>
      <c r="Q144" t="s">
        <v>40</v>
      </c>
      <c r="R144" t="s">
        <v>157</v>
      </c>
      <c r="S144" t="s">
        <v>542</v>
      </c>
      <c r="T144">
        <v>10.86</v>
      </c>
      <c r="U144">
        <v>3</v>
      </c>
      <c r="V144">
        <v>0</v>
      </c>
      <c r="W144">
        <v>5.1042000000000005</v>
      </c>
    </row>
    <row r="145" spans="1:23" x14ac:dyDescent="0.3">
      <c r="A145">
        <v>144</v>
      </c>
      <c r="B145" t="s">
        <v>536</v>
      </c>
      <c r="C145" s="2">
        <v>42996</v>
      </c>
      <c r="D145" s="2" t="str">
        <f>LEFT(orders[[#This Row],[Ship Date]],FIND("0",F145)-1)</f>
        <v>9</v>
      </c>
      <c r="E145" s="2" t="str">
        <f>RIGHT(orders[[#This Row],[Ship Date]],4)</f>
        <v>2017</v>
      </c>
      <c r="F145" s="4" t="s">
        <v>2021</v>
      </c>
      <c r="G145" t="s">
        <v>44</v>
      </c>
      <c r="H145" t="s">
        <v>537</v>
      </c>
      <c r="I145" t="s">
        <v>538</v>
      </c>
      <c r="J145" t="s">
        <v>36</v>
      </c>
      <c r="K145" s="5" t="s">
        <v>1892</v>
      </c>
      <c r="L145" s="5" t="str">
        <f t="shared" si="2"/>
        <v>San Francisco</v>
      </c>
      <c r="M145" t="s">
        <v>37</v>
      </c>
      <c r="N145">
        <v>94122</v>
      </c>
      <c r="O145" t="s">
        <v>38</v>
      </c>
      <c r="P145" t="s">
        <v>543</v>
      </c>
      <c r="Q145" t="s">
        <v>40</v>
      </c>
      <c r="R145" t="s">
        <v>82</v>
      </c>
      <c r="S145" t="s">
        <v>544</v>
      </c>
      <c r="T145">
        <v>143.69999999999999</v>
      </c>
      <c r="U145">
        <v>3</v>
      </c>
      <c r="V145">
        <v>0</v>
      </c>
      <c r="W145">
        <v>68.975999999999999</v>
      </c>
    </row>
    <row r="146" spans="1:23" x14ac:dyDescent="0.3">
      <c r="A146">
        <v>145</v>
      </c>
      <c r="B146" t="s">
        <v>545</v>
      </c>
      <c r="C146" s="2">
        <v>43091</v>
      </c>
      <c r="D146" s="2" t="str">
        <f>LEFT(orders[[#This Row],[Ship Date]],FIND("0",F146)-1)</f>
        <v>12</v>
      </c>
      <c r="E146" s="2" t="str">
        <f>RIGHT(orders[[#This Row],[Ship Date]],4)</f>
        <v>2017</v>
      </c>
      <c r="F146" s="4" t="s">
        <v>2065</v>
      </c>
      <c r="G146" t="s">
        <v>44</v>
      </c>
      <c r="H146" t="s">
        <v>546</v>
      </c>
      <c r="I146" t="s">
        <v>547</v>
      </c>
      <c r="J146" t="s">
        <v>23</v>
      </c>
      <c r="K146" s="5" t="s">
        <v>1928</v>
      </c>
      <c r="L146" s="5" t="str">
        <f t="shared" si="2"/>
        <v>Independence</v>
      </c>
      <c r="M146" t="s">
        <v>548</v>
      </c>
      <c r="N146">
        <v>64055</v>
      </c>
      <c r="O146" t="s">
        <v>95</v>
      </c>
      <c r="P146" t="s">
        <v>549</v>
      </c>
      <c r="Q146" t="s">
        <v>40</v>
      </c>
      <c r="R146" t="s">
        <v>71</v>
      </c>
      <c r="S146" t="s">
        <v>550</v>
      </c>
      <c r="T146">
        <v>839.43000000000006</v>
      </c>
      <c r="U146">
        <v>3</v>
      </c>
      <c r="V146">
        <v>0</v>
      </c>
      <c r="W146">
        <v>218.25179999999997</v>
      </c>
    </row>
    <row r="147" spans="1:23" x14ac:dyDescent="0.3">
      <c r="A147">
        <v>146</v>
      </c>
      <c r="B147" t="s">
        <v>551</v>
      </c>
      <c r="C147" s="2">
        <v>42254</v>
      </c>
      <c r="D147" s="2" t="str">
        <f>LEFT(orders[[#This Row],[Ship Date]],FIND("0",F147)-1)</f>
        <v>9</v>
      </c>
      <c r="E147" s="2" t="str">
        <f>RIGHT(orders[[#This Row],[Ship Date]],4)</f>
        <v>2015</v>
      </c>
      <c r="F147" s="4" t="s">
        <v>2066</v>
      </c>
      <c r="G147" t="s">
        <v>44</v>
      </c>
      <c r="H147" t="s">
        <v>552</v>
      </c>
      <c r="I147" t="s">
        <v>553</v>
      </c>
      <c r="J147" t="s">
        <v>23</v>
      </c>
      <c r="K147" s="5" t="s">
        <v>1929</v>
      </c>
      <c r="L147" s="5" t="str">
        <f t="shared" si="2"/>
        <v>Pasadena</v>
      </c>
      <c r="M147" t="s">
        <v>37</v>
      </c>
      <c r="N147">
        <v>91104</v>
      </c>
      <c r="O147" t="s">
        <v>38</v>
      </c>
      <c r="P147" t="s">
        <v>346</v>
      </c>
      <c r="Q147" t="s">
        <v>40</v>
      </c>
      <c r="R147" t="s">
        <v>52</v>
      </c>
      <c r="S147" t="s">
        <v>347</v>
      </c>
      <c r="T147">
        <v>671.93</v>
      </c>
      <c r="U147">
        <v>7</v>
      </c>
      <c r="V147">
        <v>0</v>
      </c>
      <c r="W147">
        <v>20.157899999999998</v>
      </c>
    </row>
    <row r="148" spans="1:23" x14ac:dyDescent="0.3">
      <c r="A148">
        <v>147</v>
      </c>
      <c r="B148" t="s">
        <v>554</v>
      </c>
      <c r="C148" s="2">
        <v>41934</v>
      </c>
      <c r="D148" s="2" t="str">
        <f>LEFT(orders[[#This Row],[Ship Date]],FIND("0",F148)-1)</f>
        <v>1</v>
      </c>
      <c r="E148" s="2" t="str">
        <f>RIGHT(orders[[#This Row],[Ship Date]],4)</f>
        <v>2014</v>
      </c>
      <c r="F148" s="4" t="s">
        <v>2067</v>
      </c>
      <c r="G148" t="s">
        <v>44</v>
      </c>
      <c r="H148" t="s">
        <v>555</v>
      </c>
      <c r="I148" t="s">
        <v>556</v>
      </c>
      <c r="J148" t="s">
        <v>93</v>
      </c>
      <c r="K148" s="5" t="s">
        <v>1930</v>
      </c>
      <c r="L148" s="5" t="str">
        <f t="shared" si="2"/>
        <v>Newark</v>
      </c>
      <c r="M148" t="s">
        <v>455</v>
      </c>
      <c r="N148">
        <v>43055</v>
      </c>
      <c r="O148" t="s">
        <v>133</v>
      </c>
      <c r="P148" t="s">
        <v>557</v>
      </c>
      <c r="Q148" t="s">
        <v>27</v>
      </c>
      <c r="R148" t="s">
        <v>58</v>
      </c>
      <c r="S148" t="s">
        <v>558</v>
      </c>
      <c r="T148">
        <v>93.888000000000005</v>
      </c>
      <c r="U148">
        <v>4</v>
      </c>
      <c r="V148">
        <v>0.2</v>
      </c>
      <c r="W148">
        <v>12.90959999999999</v>
      </c>
    </row>
    <row r="149" spans="1:23" x14ac:dyDescent="0.3">
      <c r="A149">
        <v>148</v>
      </c>
      <c r="B149" t="s">
        <v>559</v>
      </c>
      <c r="C149" s="2">
        <v>42709</v>
      </c>
      <c r="D149" s="2" t="str">
        <f>LEFT(orders[[#This Row],[Ship Date]],FIND("0",F149)-1)</f>
        <v>12</v>
      </c>
      <c r="E149" s="2" t="str">
        <f>RIGHT(orders[[#This Row],[Ship Date]],4)</f>
        <v>2016</v>
      </c>
      <c r="F149" s="4" t="s">
        <v>2068</v>
      </c>
      <c r="G149" t="s">
        <v>44</v>
      </c>
      <c r="H149" t="s">
        <v>560</v>
      </c>
      <c r="I149" t="s">
        <v>561</v>
      </c>
      <c r="J149" t="s">
        <v>36</v>
      </c>
      <c r="K149" s="5" t="s">
        <v>1931</v>
      </c>
      <c r="L149" s="5" t="str">
        <f t="shared" si="2"/>
        <v>Franklin</v>
      </c>
      <c r="M149" t="s">
        <v>103</v>
      </c>
      <c r="N149">
        <v>53132</v>
      </c>
      <c r="O149" t="s">
        <v>95</v>
      </c>
      <c r="P149" t="s">
        <v>562</v>
      </c>
      <c r="Q149" t="s">
        <v>64</v>
      </c>
      <c r="R149" t="s">
        <v>65</v>
      </c>
      <c r="S149" t="s">
        <v>563</v>
      </c>
      <c r="T149">
        <v>384.45000000000005</v>
      </c>
      <c r="U149">
        <v>11</v>
      </c>
      <c r="V149">
        <v>0</v>
      </c>
      <c r="W149">
        <v>103.80150000000003</v>
      </c>
    </row>
    <row r="150" spans="1:23" x14ac:dyDescent="0.3">
      <c r="A150">
        <v>149</v>
      </c>
      <c r="B150" t="s">
        <v>559</v>
      </c>
      <c r="C150" s="2">
        <v>42709</v>
      </c>
      <c r="D150" s="2" t="str">
        <f>LEFT(orders[[#This Row],[Ship Date]],FIND("0",F150)-1)</f>
        <v>12</v>
      </c>
      <c r="E150" s="2" t="str">
        <f>RIGHT(orders[[#This Row],[Ship Date]],4)</f>
        <v>2016</v>
      </c>
      <c r="F150" s="4" t="s">
        <v>2068</v>
      </c>
      <c r="G150" t="s">
        <v>44</v>
      </c>
      <c r="H150" t="s">
        <v>560</v>
      </c>
      <c r="I150" t="s">
        <v>561</v>
      </c>
      <c r="J150" t="s">
        <v>36</v>
      </c>
      <c r="K150" s="5" t="s">
        <v>1931</v>
      </c>
      <c r="L150" s="5" t="str">
        <f t="shared" si="2"/>
        <v>Franklin</v>
      </c>
      <c r="M150" t="s">
        <v>103</v>
      </c>
      <c r="N150">
        <v>53132</v>
      </c>
      <c r="O150" t="s">
        <v>95</v>
      </c>
      <c r="P150" t="s">
        <v>564</v>
      </c>
      <c r="Q150" t="s">
        <v>64</v>
      </c>
      <c r="R150" t="s">
        <v>65</v>
      </c>
      <c r="S150" t="s">
        <v>565</v>
      </c>
      <c r="T150">
        <v>149.97</v>
      </c>
      <c r="U150">
        <v>3</v>
      </c>
      <c r="V150">
        <v>0</v>
      </c>
      <c r="W150">
        <v>5.9987999999999815</v>
      </c>
    </row>
    <row r="151" spans="1:23" x14ac:dyDescent="0.3">
      <c r="A151">
        <v>150</v>
      </c>
      <c r="B151" t="s">
        <v>559</v>
      </c>
      <c r="C151" s="2">
        <v>42709</v>
      </c>
      <c r="D151" s="2" t="str">
        <f>LEFT(orders[[#This Row],[Ship Date]],FIND("0",F151)-1)</f>
        <v>12</v>
      </c>
      <c r="E151" s="2" t="str">
        <f>RIGHT(orders[[#This Row],[Ship Date]],4)</f>
        <v>2016</v>
      </c>
      <c r="F151" s="4" t="s">
        <v>2068</v>
      </c>
      <c r="G151" t="s">
        <v>44</v>
      </c>
      <c r="H151" t="s">
        <v>560</v>
      </c>
      <c r="I151" t="s">
        <v>561</v>
      </c>
      <c r="J151" t="s">
        <v>36</v>
      </c>
      <c r="K151" s="5" t="s">
        <v>1931</v>
      </c>
      <c r="L151" s="5" t="str">
        <f t="shared" si="2"/>
        <v>Franklin</v>
      </c>
      <c r="M151" t="s">
        <v>103</v>
      </c>
      <c r="N151">
        <v>53132</v>
      </c>
      <c r="O151" t="s">
        <v>95</v>
      </c>
      <c r="P151" t="s">
        <v>30</v>
      </c>
      <c r="Q151" t="s">
        <v>27</v>
      </c>
      <c r="R151" t="s">
        <v>31</v>
      </c>
      <c r="S151" t="s">
        <v>32</v>
      </c>
      <c r="T151">
        <v>1951.84</v>
      </c>
      <c r="U151">
        <v>8</v>
      </c>
      <c r="V151">
        <v>0</v>
      </c>
      <c r="W151">
        <v>585.55199999999991</v>
      </c>
    </row>
    <row r="152" spans="1:23" x14ac:dyDescent="0.3">
      <c r="A152">
        <v>151</v>
      </c>
      <c r="B152" t="s">
        <v>559</v>
      </c>
      <c r="C152" s="2">
        <v>42709</v>
      </c>
      <c r="D152" s="2" t="str">
        <f>LEFT(orders[[#This Row],[Ship Date]],FIND("0",F152)-1)</f>
        <v>12</v>
      </c>
      <c r="E152" s="2" t="str">
        <f>RIGHT(orders[[#This Row],[Ship Date]],4)</f>
        <v>2016</v>
      </c>
      <c r="F152" s="4" t="s">
        <v>2068</v>
      </c>
      <c r="G152" t="s">
        <v>44</v>
      </c>
      <c r="H152" t="s">
        <v>560</v>
      </c>
      <c r="I152" t="s">
        <v>561</v>
      </c>
      <c r="J152" t="s">
        <v>36</v>
      </c>
      <c r="K152" s="5" t="s">
        <v>1931</v>
      </c>
      <c r="L152" s="5" t="str">
        <f t="shared" si="2"/>
        <v>Franklin</v>
      </c>
      <c r="M152" t="s">
        <v>103</v>
      </c>
      <c r="N152">
        <v>53132</v>
      </c>
      <c r="O152" t="s">
        <v>95</v>
      </c>
      <c r="P152" t="s">
        <v>566</v>
      </c>
      <c r="Q152" t="s">
        <v>40</v>
      </c>
      <c r="R152" t="s">
        <v>68</v>
      </c>
      <c r="S152" t="s">
        <v>567</v>
      </c>
      <c r="T152">
        <v>171.55</v>
      </c>
      <c r="U152">
        <v>5</v>
      </c>
      <c r="V152">
        <v>0</v>
      </c>
      <c r="W152">
        <v>80.628500000000003</v>
      </c>
    </row>
    <row r="153" spans="1:23" x14ac:dyDescent="0.3">
      <c r="A153">
        <v>152</v>
      </c>
      <c r="B153" t="s">
        <v>568</v>
      </c>
      <c r="C153" s="2">
        <v>42442</v>
      </c>
      <c r="D153" s="2" t="str">
        <f>LEFT(orders[[#This Row],[Ship Date]],FIND("0",F153)-1)</f>
        <v>3</v>
      </c>
      <c r="E153" s="2" t="str">
        <f>RIGHT(orders[[#This Row],[Ship Date]],4)</f>
        <v>2016</v>
      </c>
      <c r="F153" s="4" t="s">
        <v>2069</v>
      </c>
      <c r="G153" t="s">
        <v>171</v>
      </c>
      <c r="H153" t="s">
        <v>569</v>
      </c>
      <c r="I153" t="s">
        <v>570</v>
      </c>
      <c r="J153" t="s">
        <v>93</v>
      </c>
      <c r="K153" s="5" t="s">
        <v>1932</v>
      </c>
      <c r="L153" s="5" t="str">
        <f t="shared" si="2"/>
        <v>Scottsdale</v>
      </c>
      <c r="M153" t="s">
        <v>282</v>
      </c>
      <c r="N153">
        <v>85254</v>
      </c>
      <c r="O153" t="s">
        <v>38</v>
      </c>
      <c r="P153" t="s">
        <v>571</v>
      </c>
      <c r="Q153" t="s">
        <v>40</v>
      </c>
      <c r="R153" t="s">
        <v>71</v>
      </c>
      <c r="S153" t="s">
        <v>572</v>
      </c>
      <c r="T153">
        <v>157.91999999999999</v>
      </c>
      <c r="U153">
        <v>5</v>
      </c>
      <c r="V153">
        <v>0.2</v>
      </c>
      <c r="W153">
        <v>17.765999999999991</v>
      </c>
    </row>
    <row r="154" spans="1:23" x14ac:dyDescent="0.3">
      <c r="A154">
        <v>153</v>
      </c>
      <c r="B154" t="s">
        <v>568</v>
      </c>
      <c r="C154" s="2">
        <v>42442</v>
      </c>
      <c r="D154" s="2" t="str">
        <f>LEFT(orders[[#This Row],[Ship Date]],FIND("0",F154)-1)</f>
        <v>3</v>
      </c>
      <c r="E154" s="2" t="str">
        <f>RIGHT(orders[[#This Row],[Ship Date]],4)</f>
        <v>2016</v>
      </c>
      <c r="F154" s="4" t="s">
        <v>2069</v>
      </c>
      <c r="G154" t="s">
        <v>171</v>
      </c>
      <c r="H154" t="s">
        <v>569</v>
      </c>
      <c r="I154" t="s">
        <v>570</v>
      </c>
      <c r="J154" t="s">
        <v>93</v>
      </c>
      <c r="K154" s="5" t="s">
        <v>1932</v>
      </c>
      <c r="L154" s="5" t="str">
        <f t="shared" si="2"/>
        <v>Scottsdale</v>
      </c>
      <c r="M154" t="s">
        <v>282</v>
      </c>
      <c r="N154">
        <v>85254</v>
      </c>
      <c r="O154" t="s">
        <v>38</v>
      </c>
      <c r="P154" t="s">
        <v>573</v>
      </c>
      <c r="Q154" t="s">
        <v>64</v>
      </c>
      <c r="R154" t="s">
        <v>65</v>
      </c>
      <c r="S154" t="s">
        <v>574</v>
      </c>
      <c r="T154">
        <v>203.184</v>
      </c>
      <c r="U154">
        <v>2</v>
      </c>
      <c r="V154">
        <v>0.2</v>
      </c>
      <c r="W154">
        <v>15.238799999999991</v>
      </c>
    </row>
    <row r="155" spans="1:23" x14ac:dyDescent="0.3">
      <c r="A155">
        <v>154</v>
      </c>
      <c r="B155" t="s">
        <v>575</v>
      </c>
      <c r="C155" s="2">
        <v>42155</v>
      </c>
      <c r="D155" s="2" t="str">
        <f>LEFT(orders[[#This Row],[Ship Date]],FIND("0",F155)-1)</f>
        <v>6</v>
      </c>
      <c r="E155" s="2" t="str">
        <f>RIGHT(orders[[#This Row],[Ship Date]],4)</f>
        <v>2015</v>
      </c>
      <c r="F155" s="4" t="s">
        <v>2070</v>
      </c>
      <c r="G155" t="s">
        <v>171</v>
      </c>
      <c r="H155" t="s">
        <v>576</v>
      </c>
      <c r="I155" t="s">
        <v>577</v>
      </c>
      <c r="J155" t="s">
        <v>36</v>
      </c>
      <c r="K155" s="5" t="s">
        <v>1933</v>
      </c>
      <c r="L155" s="5" t="str">
        <f t="shared" si="2"/>
        <v>San Jose</v>
      </c>
      <c r="M155" t="s">
        <v>37</v>
      </c>
      <c r="N155">
        <v>95123</v>
      </c>
      <c r="O155" t="s">
        <v>38</v>
      </c>
      <c r="P155" t="s">
        <v>578</v>
      </c>
      <c r="Q155" t="s">
        <v>40</v>
      </c>
      <c r="R155" t="s">
        <v>82</v>
      </c>
      <c r="S155" t="s">
        <v>579</v>
      </c>
      <c r="T155">
        <v>58.379999999999995</v>
      </c>
      <c r="U155">
        <v>7</v>
      </c>
      <c r="V155">
        <v>0</v>
      </c>
      <c r="W155">
        <v>26.270999999999994</v>
      </c>
    </row>
    <row r="156" spans="1:23" x14ac:dyDescent="0.3">
      <c r="A156">
        <v>155</v>
      </c>
      <c r="B156" t="s">
        <v>575</v>
      </c>
      <c r="C156" s="2">
        <v>42155</v>
      </c>
      <c r="D156" s="2" t="str">
        <f>LEFT(orders[[#This Row],[Ship Date]],FIND("0",F156)-1)</f>
        <v>6</v>
      </c>
      <c r="E156" s="2" t="str">
        <f>RIGHT(orders[[#This Row],[Ship Date]],4)</f>
        <v>2015</v>
      </c>
      <c r="F156" s="4" t="s">
        <v>2070</v>
      </c>
      <c r="G156" t="s">
        <v>171</v>
      </c>
      <c r="H156" t="s">
        <v>576</v>
      </c>
      <c r="I156" t="s">
        <v>577</v>
      </c>
      <c r="J156" t="s">
        <v>36</v>
      </c>
      <c r="K156" s="5" t="s">
        <v>1933</v>
      </c>
      <c r="L156" s="5" t="str">
        <f t="shared" si="2"/>
        <v>San Jose</v>
      </c>
      <c r="M156" t="s">
        <v>37</v>
      </c>
      <c r="N156">
        <v>95123</v>
      </c>
      <c r="O156" t="s">
        <v>38</v>
      </c>
      <c r="P156" t="s">
        <v>580</v>
      </c>
      <c r="Q156" t="s">
        <v>40</v>
      </c>
      <c r="R156" t="s">
        <v>82</v>
      </c>
      <c r="S156" t="s">
        <v>581</v>
      </c>
      <c r="T156">
        <v>105.52</v>
      </c>
      <c r="U156">
        <v>4</v>
      </c>
      <c r="V156">
        <v>0</v>
      </c>
      <c r="W156">
        <v>48.539199999999994</v>
      </c>
    </row>
    <row r="157" spans="1:23" x14ac:dyDescent="0.3">
      <c r="A157">
        <v>156</v>
      </c>
      <c r="B157" t="s">
        <v>575</v>
      </c>
      <c r="C157" s="2">
        <v>42155</v>
      </c>
      <c r="D157" s="2" t="str">
        <f>LEFT(orders[[#This Row],[Ship Date]],FIND("0",F157)-1)</f>
        <v>6</v>
      </c>
      <c r="E157" s="2" t="str">
        <f>RIGHT(orders[[#This Row],[Ship Date]],4)</f>
        <v>2015</v>
      </c>
      <c r="F157" s="4" t="s">
        <v>2070</v>
      </c>
      <c r="G157" t="s">
        <v>171</v>
      </c>
      <c r="H157" t="s">
        <v>576</v>
      </c>
      <c r="I157" t="s">
        <v>577</v>
      </c>
      <c r="J157" t="s">
        <v>36</v>
      </c>
      <c r="K157" s="5" t="s">
        <v>1933</v>
      </c>
      <c r="L157" s="5" t="str">
        <f t="shared" si="2"/>
        <v>San Jose</v>
      </c>
      <c r="M157" t="s">
        <v>37</v>
      </c>
      <c r="N157">
        <v>95123</v>
      </c>
      <c r="O157" t="s">
        <v>38</v>
      </c>
      <c r="P157" t="s">
        <v>582</v>
      </c>
      <c r="Q157" t="s">
        <v>40</v>
      </c>
      <c r="R157" t="s">
        <v>52</v>
      </c>
      <c r="S157" t="s">
        <v>583</v>
      </c>
      <c r="T157">
        <v>80.88</v>
      </c>
      <c r="U157">
        <v>6</v>
      </c>
      <c r="V157">
        <v>0</v>
      </c>
      <c r="W157">
        <v>21.028799999999997</v>
      </c>
    </row>
    <row r="158" spans="1:23" x14ac:dyDescent="0.3">
      <c r="A158">
        <v>157</v>
      </c>
      <c r="B158" t="s">
        <v>584</v>
      </c>
      <c r="C158" s="2">
        <v>42152</v>
      </c>
      <c r="D158" s="2" t="str">
        <f>LEFT(orders[[#This Row],[Ship Date]],FIND("0",F158)-1)</f>
        <v>6</v>
      </c>
      <c r="E158" s="2" t="str">
        <f>RIGHT(orders[[#This Row],[Ship Date]],4)</f>
        <v>2015</v>
      </c>
      <c r="F158" s="4" t="s">
        <v>2071</v>
      </c>
      <c r="G158" t="s">
        <v>44</v>
      </c>
      <c r="H158" t="s">
        <v>585</v>
      </c>
      <c r="I158" t="s">
        <v>586</v>
      </c>
      <c r="J158" t="s">
        <v>93</v>
      </c>
      <c r="K158" s="5" t="s">
        <v>1888</v>
      </c>
      <c r="L158" s="5" t="str">
        <f t="shared" si="2"/>
        <v>Seattle</v>
      </c>
      <c r="M158" t="s">
        <v>87</v>
      </c>
      <c r="N158">
        <v>98105</v>
      </c>
      <c r="O158" t="s">
        <v>38</v>
      </c>
      <c r="P158" t="s">
        <v>587</v>
      </c>
      <c r="Q158" t="s">
        <v>40</v>
      </c>
      <c r="R158" t="s">
        <v>61</v>
      </c>
      <c r="S158" t="s">
        <v>588</v>
      </c>
      <c r="T158">
        <v>6.63</v>
      </c>
      <c r="U158">
        <v>3</v>
      </c>
      <c r="V158">
        <v>0</v>
      </c>
      <c r="W158">
        <v>1.7901</v>
      </c>
    </row>
    <row r="159" spans="1:23" x14ac:dyDescent="0.3">
      <c r="A159">
        <v>158</v>
      </c>
      <c r="B159" t="s">
        <v>589</v>
      </c>
      <c r="C159" s="2">
        <v>41699</v>
      </c>
      <c r="D159" s="2" t="str">
        <f>LEFT(orders[[#This Row],[Ship Date]],FIND("0",F159)-1)</f>
        <v>3</v>
      </c>
      <c r="E159" s="2" t="str">
        <f>RIGHT(orders[[#This Row],[Ship Date]],4)</f>
        <v>2014</v>
      </c>
      <c r="F159" s="4" t="s">
        <v>2072</v>
      </c>
      <c r="G159" t="s">
        <v>20</v>
      </c>
      <c r="H159" t="s">
        <v>590</v>
      </c>
      <c r="I159" t="s">
        <v>591</v>
      </c>
      <c r="J159" t="s">
        <v>23</v>
      </c>
      <c r="K159" s="5" t="s">
        <v>1888</v>
      </c>
      <c r="L159" s="5" t="str">
        <f t="shared" si="2"/>
        <v>Seattle</v>
      </c>
      <c r="M159" t="s">
        <v>87</v>
      </c>
      <c r="N159">
        <v>98115</v>
      </c>
      <c r="O159" t="s">
        <v>38</v>
      </c>
      <c r="P159" t="s">
        <v>488</v>
      </c>
      <c r="Q159" t="s">
        <v>27</v>
      </c>
      <c r="R159" t="s">
        <v>31</v>
      </c>
      <c r="S159" t="s">
        <v>489</v>
      </c>
      <c r="T159">
        <v>457.56800000000004</v>
      </c>
      <c r="U159">
        <v>2</v>
      </c>
      <c r="V159">
        <v>0.2</v>
      </c>
      <c r="W159">
        <v>51.476399999999941</v>
      </c>
    </row>
    <row r="160" spans="1:23" x14ac:dyDescent="0.3">
      <c r="A160">
        <v>159</v>
      </c>
      <c r="B160" t="s">
        <v>592</v>
      </c>
      <c r="C160" s="2">
        <v>42694</v>
      </c>
      <c r="D160" s="2" t="str">
        <f>LEFT(orders[[#This Row],[Ship Date]],FIND("0",F160)-1)</f>
        <v>11</v>
      </c>
      <c r="E160" s="2" t="str">
        <f>RIGHT(orders[[#This Row],[Ship Date]],4)</f>
        <v>2016</v>
      </c>
      <c r="F160" s="4" t="s">
        <v>2073</v>
      </c>
      <c r="G160" t="s">
        <v>44</v>
      </c>
      <c r="H160" t="s">
        <v>593</v>
      </c>
      <c r="I160" t="s">
        <v>594</v>
      </c>
      <c r="J160" t="s">
        <v>23</v>
      </c>
      <c r="K160" s="5" t="s">
        <v>1934</v>
      </c>
      <c r="L160" s="5" t="str">
        <f t="shared" si="2"/>
        <v>Edmond</v>
      </c>
      <c r="M160" t="s">
        <v>595</v>
      </c>
      <c r="N160">
        <v>73034</v>
      </c>
      <c r="O160" t="s">
        <v>95</v>
      </c>
      <c r="P160" t="s">
        <v>596</v>
      </c>
      <c r="Q160" t="s">
        <v>40</v>
      </c>
      <c r="R160" t="s">
        <v>41</v>
      </c>
      <c r="S160" t="s">
        <v>597</v>
      </c>
      <c r="T160">
        <v>14.62</v>
      </c>
      <c r="U160">
        <v>2</v>
      </c>
      <c r="V160">
        <v>0</v>
      </c>
      <c r="W160">
        <v>6.8713999999999995</v>
      </c>
    </row>
    <row r="161" spans="1:23" x14ac:dyDescent="0.3">
      <c r="A161">
        <v>160</v>
      </c>
      <c r="B161" t="s">
        <v>592</v>
      </c>
      <c r="C161" s="2">
        <v>42694</v>
      </c>
      <c r="D161" s="2" t="str">
        <f>LEFT(orders[[#This Row],[Ship Date]],FIND("0",F161)-1)</f>
        <v>11</v>
      </c>
      <c r="E161" s="2" t="str">
        <f>RIGHT(orders[[#This Row],[Ship Date]],4)</f>
        <v>2016</v>
      </c>
      <c r="F161" s="4" t="s">
        <v>2073</v>
      </c>
      <c r="G161" t="s">
        <v>44</v>
      </c>
      <c r="H161" t="s">
        <v>593</v>
      </c>
      <c r="I161" t="s">
        <v>594</v>
      </c>
      <c r="J161" t="s">
        <v>23</v>
      </c>
      <c r="K161" s="5" t="s">
        <v>1934</v>
      </c>
      <c r="L161" s="5" t="str">
        <f t="shared" si="2"/>
        <v>Edmond</v>
      </c>
      <c r="M161" t="s">
        <v>595</v>
      </c>
      <c r="N161">
        <v>73034</v>
      </c>
      <c r="O161" t="s">
        <v>95</v>
      </c>
      <c r="P161" t="s">
        <v>598</v>
      </c>
      <c r="Q161" t="s">
        <v>64</v>
      </c>
      <c r="R161" t="s">
        <v>65</v>
      </c>
      <c r="S161" t="s">
        <v>599</v>
      </c>
      <c r="T161">
        <v>944.93000000000006</v>
      </c>
      <c r="U161">
        <v>7</v>
      </c>
      <c r="V161">
        <v>0</v>
      </c>
      <c r="W161">
        <v>236.23250000000002</v>
      </c>
    </row>
    <row r="162" spans="1:23" x14ac:dyDescent="0.3">
      <c r="A162">
        <v>161</v>
      </c>
      <c r="B162" t="s">
        <v>600</v>
      </c>
      <c r="C162" s="2">
        <v>42501</v>
      </c>
      <c r="D162" s="2" t="str">
        <f>LEFT(orders[[#This Row],[Ship Date]],FIND("0",F162)-1)</f>
        <v>5</v>
      </c>
      <c r="E162" s="2" t="str">
        <f>RIGHT(orders[[#This Row],[Ship Date]],4)</f>
        <v>2016</v>
      </c>
      <c r="F162" s="4" t="s">
        <v>2074</v>
      </c>
      <c r="G162" t="s">
        <v>171</v>
      </c>
      <c r="H162" t="s">
        <v>601</v>
      </c>
      <c r="I162" t="s">
        <v>602</v>
      </c>
      <c r="J162" t="s">
        <v>23</v>
      </c>
      <c r="K162" s="5" t="s">
        <v>1885</v>
      </c>
      <c r="L162" s="5" t="str">
        <f t="shared" si="2"/>
        <v>Los Angeles</v>
      </c>
      <c r="M162" t="s">
        <v>37</v>
      </c>
      <c r="N162">
        <v>90045</v>
      </c>
      <c r="O162" t="s">
        <v>38</v>
      </c>
      <c r="P162" t="s">
        <v>603</v>
      </c>
      <c r="Q162" t="s">
        <v>40</v>
      </c>
      <c r="R162" t="s">
        <v>82</v>
      </c>
      <c r="S162" t="s">
        <v>604</v>
      </c>
      <c r="T162">
        <v>5.98</v>
      </c>
      <c r="U162">
        <v>1</v>
      </c>
      <c r="V162">
        <v>0</v>
      </c>
      <c r="W162">
        <v>2.6909999999999998</v>
      </c>
    </row>
    <row r="163" spans="1:23" x14ac:dyDescent="0.3">
      <c r="A163">
        <v>162</v>
      </c>
      <c r="B163" t="s">
        <v>605</v>
      </c>
      <c r="C163" s="2">
        <v>42366</v>
      </c>
      <c r="D163" s="2" t="str">
        <f>LEFT(orders[[#This Row],[Ship Date]],FIND("0",F163)-1)</f>
        <v>12</v>
      </c>
      <c r="E163" s="2" t="str">
        <f>RIGHT(orders[[#This Row],[Ship Date]],4)</f>
        <v>2015</v>
      </c>
      <c r="F163" s="4" t="s">
        <v>2018</v>
      </c>
      <c r="G163" t="s">
        <v>20</v>
      </c>
      <c r="H163" t="s">
        <v>606</v>
      </c>
      <c r="I163" t="s">
        <v>607</v>
      </c>
      <c r="J163" t="s">
        <v>23</v>
      </c>
      <c r="K163" s="5" t="s">
        <v>1894</v>
      </c>
      <c r="L163" s="5" t="str">
        <f t="shared" si="2"/>
        <v>Philadelphia</v>
      </c>
      <c r="M163" t="s">
        <v>132</v>
      </c>
      <c r="N163">
        <v>19134</v>
      </c>
      <c r="O163" t="s">
        <v>133</v>
      </c>
      <c r="P163" t="s">
        <v>608</v>
      </c>
      <c r="Q163" t="s">
        <v>64</v>
      </c>
      <c r="R163" t="s">
        <v>145</v>
      </c>
      <c r="S163" t="s">
        <v>609</v>
      </c>
      <c r="T163">
        <v>54.384000000000007</v>
      </c>
      <c r="U163">
        <v>2</v>
      </c>
      <c r="V163">
        <v>0.2</v>
      </c>
      <c r="W163">
        <v>1.359599999999995</v>
      </c>
    </row>
    <row r="164" spans="1:23" x14ac:dyDescent="0.3">
      <c r="A164">
        <v>163</v>
      </c>
      <c r="B164" t="s">
        <v>610</v>
      </c>
      <c r="C164" s="2">
        <v>42690</v>
      </c>
      <c r="D164" s="2" t="str">
        <f>LEFT(orders[[#This Row],[Ship Date]],FIND("0",F164)-1)</f>
        <v>11</v>
      </c>
      <c r="E164" s="2" t="str">
        <f>RIGHT(orders[[#This Row],[Ship Date]],4)</f>
        <v>2016</v>
      </c>
      <c r="F164" s="4" t="s">
        <v>2075</v>
      </c>
      <c r="G164" t="s">
        <v>44</v>
      </c>
      <c r="H164" t="s">
        <v>611</v>
      </c>
      <c r="I164" t="s">
        <v>612</v>
      </c>
      <c r="J164" t="s">
        <v>23</v>
      </c>
      <c r="K164" s="5" t="s">
        <v>1935</v>
      </c>
      <c r="L164" s="5" t="str">
        <f t="shared" si="2"/>
        <v>Carlsbad</v>
      </c>
      <c r="M164" t="s">
        <v>613</v>
      </c>
      <c r="N164">
        <v>88220</v>
      </c>
      <c r="O164" t="s">
        <v>38</v>
      </c>
      <c r="P164" t="s">
        <v>614</v>
      </c>
      <c r="Q164" t="s">
        <v>40</v>
      </c>
      <c r="R164" t="s">
        <v>157</v>
      </c>
      <c r="S164" t="s">
        <v>615</v>
      </c>
      <c r="T164">
        <v>28.4</v>
      </c>
      <c r="U164">
        <v>5</v>
      </c>
      <c r="V164">
        <v>0</v>
      </c>
      <c r="W164">
        <v>13.347999999999997</v>
      </c>
    </row>
    <row r="165" spans="1:23" x14ac:dyDescent="0.3">
      <c r="A165">
        <v>164</v>
      </c>
      <c r="B165" t="s">
        <v>616</v>
      </c>
      <c r="C165" s="2">
        <v>42681</v>
      </c>
      <c r="D165" s="2" t="str">
        <f>LEFT(orders[[#This Row],[Ship Date]],FIND("0",F165)-1)</f>
        <v>11</v>
      </c>
      <c r="E165" s="2" t="str">
        <f>RIGHT(orders[[#This Row],[Ship Date]],4)</f>
        <v>2016</v>
      </c>
      <c r="F165" s="4" t="s">
        <v>2002</v>
      </c>
      <c r="G165" t="s">
        <v>44</v>
      </c>
      <c r="H165" t="s">
        <v>617</v>
      </c>
      <c r="I165" t="s">
        <v>618</v>
      </c>
      <c r="J165" t="s">
        <v>23</v>
      </c>
      <c r="K165" s="5" t="s">
        <v>1888</v>
      </c>
      <c r="L165" s="5" t="str">
        <f t="shared" si="2"/>
        <v>Seattle</v>
      </c>
      <c r="M165" t="s">
        <v>87</v>
      </c>
      <c r="N165">
        <v>98115</v>
      </c>
      <c r="O165" t="s">
        <v>38</v>
      </c>
      <c r="P165" t="s">
        <v>619</v>
      </c>
      <c r="Q165" t="s">
        <v>40</v>
      </c>
      <c r="R165" t="s">
        <v>68</v>
      </c>
      <c r="S165" t="s">
        <v>620</v>
      </c>
      <c r="T165">
        <v>27.680000000000003</v>
      </c>
      <c r="U165">
        <v>2</v>
      </c>
      <c r="V165">
        <v>0.2</v>
      </c>
      <c r="W165">
        <v>9.6879999999999988</v>
      </c>
    </row>
    <row r="166" spans="1:23" x14ac:dyDescent="0.3">
      <c r="A166">
        <v>165</v>
      </c>
      <c r="B166" t="s">
        <v>621</v>
      </c>
      <c r="C166" s="2">
        <v>41890</v>
      </c>
      <c r="D166" s="2" t="str">
        <f>LEFT(orders[[#This Row],[Ship Date]],FIND("0",F166)-1)</f>
        <v>9</v>
      </c>
      <c r="E166" s="2" t="str">
        <f>RIGHT(orders[[#This Row],[Ship Date]],4)</f>
        <v>2014</v>
      </c>
      <c r="F166" s="4" t="s">
        <v>2076</v>
      </c>
      <c r="G166" t="s">
        <v>44</v>
      </c>
      <c r="H166" t="s">
        <v>622</v>
      </c>
      <c r="I166" t="s">
        <v>623</v>
      </c>
      <c r="J166" t="s">
        <v>23</v>
      </c>
      <c r="K166" s="5" t="s">
        <v>1936</v>
      </c>
      <c r="L166" s="5" t="str">
        <f t="shared" si="2"/>
        <v>San Antonio</v>
      </c>
      <c r="M166" t="s">
        <v>94</v>
      </c>
      <c r="N166">
        <v>78207</v>
      </c>
      <c r="O166" t="s">
        <v>95</v>
      </c>
      <c r="P166" t="s">
        <v>624</v>
      </c>
      <c r="Q166" t="s">
        <v>40</v>
      </c>
      <c r="R166" t="s">
        <v>61</v>
      </c>
      <c r="S166" t="s">
        <v>625</v>
      </c>
      <c r="T166">
        <v>9.9359999999999999</v>
      </c>
      <c r="U166">
        <v>3</v>
      </c>
      <c r="V166">
        <v>0.2</v>
      </c>
      <c r="W166">
        <v>2.7324000000000002</v>
      </c>
    </row>
    <row r="167" spans="1:23" x14ac:dyDescent="0.3">
      <c r="A167">
        <v>166</v>
      </c>
      <c r="B167" t="s">
        <v>621</v>
      </c>
      <c r="C167" s="2">
        <v>41890</v>
      </c>
      <c r="D167" s="2" t="str">
        <f>LEFT(orders[[#This Row],[Ship Date]],FIND("0",F167)-1)</f>
        <v>9</v>
      </c>
      <c r="E167" s="2" t="str">
        <f>RIGHT(orders[[#This Row],[Ship Date]],4)</f>
        <v>2014</v>
      </c>
      <c r="F167" s="4" t="s">
        <v>2076</v>
      </c>
      <c r="G167" t="s">
        <v>44</v>
      </c>
      <c r="H167" t="s">
        <v>622</v>
      </c>
      <c r="I167" t="s">
        <v>623</v>
      </c>
      <c r="J167" t="s">
        <v>23</v>
      </c>
      <c r="K167" s="5" t="s">
        <v>1936</v>
      </c>
      <c r="L167" s="5" t="str">
        <f t="shared" si="2"/>
        <v>San Antonio</v>
      </c>
      <c r="M167" t="s">
        <v>94</v>
      </c>
      <c r="N167">
        <v>78207</v>
      </c>
      <c r="O167" t="s">
        <v>95</v>
      </c>
      <c r="P167" t="s">
        <v>626</v>
      </c>
      <c r="Q167" t="s">
        <v>64</v>
      </c>
      <c r="R167" t="s">
        <v>627</v>
      </c>
      <c r="S167" t="s">
        <v>628</v>
      </c>
      <c r="T167">
        <v>8159.9519999999993</v>
      </c>
      <c r="U167">
        <v>8</v>
      </c>
      <c r="V167">
        <v>0.4</v>
      </c>
      <c r="W167">
        <v>-1359.992000000002</v>
      </c>
    </row>
    <row r="168" spans="1:23" x14ac:dyDescent="0.3">
      <c r="A168">
        <v>167</v>
      </c>
      <c r="B168" t="s">
        <v>621</v>
      </c>
      <c r="C168" s="2">
        <v>41890</v>
      </c>
      <c r="D168" s="2" t="str">
        <f>LEFT(orders[[#This Row],[Ship Date]],FIND("0",F168)-1)</f>
        <v>9</v>
      </c>
      <c r="E168" s="2" t="str">
        <f>RIGHT(orders[[#This Row],[Ship Date]],4)</f>
        <v>2014</v>
      </c>
      <c r="F168" s="4" t="s">
        <v>2076</v>
      </c>
      <c r="G168" t="s">
        <v>44</v>
      </c>
      <c r="H168" t="s">
        <v>622</v>
      </c>
      <c r="I168" t="s">
        <v>623</v>
      </c>
      <c r="J168" t="s">
        <v>23</v>
      </c>
      <c r="K168" s="5" t="s">
        <v>1936</v>
      </c>
      <c r="L168" s="5" t="str">
        <f t="shared" si="2"/>
        <v>San Antonio</v>
      </c>
      <c r="M168" t="s">
        <v>94</v>
      </c>
      <c r="N168">
        <v>78207</v>
      </c>
      <c r="O168" t="s">
        <v>95</v>
      </c>
      <c r="P168" t="s">
        <v>629</v>
      </c>
      <c r="Q168" t="s">
        <v>40</v>
      </c>
      <c r="R168" t="s">
        <v>52</v>
      </c>
      <c r="S168" t="s">
        <v>630</v>
      </c>
      <c r="T168">
        <v>275.928</v>
      </c>
      <c r="U168">
        <v>3</v>
      </c>
      <c r="V168">
        <v>0.2</v>
      </c>
      <c r="W168">
        <v>-58.634699999999995</v>
      </c>
    </row>
    <row r="169" spans="1:23" x14ac:dyDescent="0.3">
      <c r="A169">
        <v>168</v>
      </c>
      <c r="B169" t="s">
        <v>621</v>
      </c>
      <c r="C169" s="2">
        <v>41890</v>
      </c>
      <c r="D169" s="2" t="str">
        <f>LEFT(orders[[#This Row],[Ship Date]],FIND("0",F169)-1)</f>
        <v>9</v>
      </c>
      <c r="E169" s="2" t="str">
        <f>RIGHT(orders[[#This Row],[Ship Date]],4)</f>
        <v>2014</v>
      </c>
      <c r="F169" s="4" t="s">
        <v>2076</v>
      </c>
      <c r="G169" t="s">
        <v>44</v>
      </c>
      <c r="H169" t="s">
        <v>622</v>
      </c>
      <c r="I169" t="s">
        <v>623</v>
      </c>
      <c r="J169" t="s">
        <v>23</v>
      </c>
      <c r="K169" s="5" t="s">
        <v>1936</v>
      </c>
      <c r="L169" s="5" t="str">
        <f t="shared" si="2"/>
        <v>San Antonio</v>
      </c>
      <c r="M169" t="s">
        <v>94</v>
      </c>
      <c r="N169">
        <v>78207</v>
      </c>
      <c r="O169" t="s">
        <v>95</v>
      </c>
      <c r="P169" t="s">
        <v>631</v>
      </c>
      <c r="Q169" t="s">
        <v>27</v>
      </c>
      <c r="R169" t="s">
        <v>31</v>
      </c>
      <c r="S169" t="s">
        <v>632</v>
      </c>
      <c r="T169">
        <v>1740.0599999999997</v>
      </c>
      <c r="U169">
        <v>9</v>
      </c>
      <c r="V169">
        <v>0.3</v>
      </c>
      <c r="W169">
        <v>-24.858000000000175</v>
      </c>
    </row>
    <row r="170" spans="1:23" x14ac:dyDescent="0.3">
      <c r="A170">
        <v>169</v>
      </c>
      <c r="B170" t="s">
        <v>621</v>
      </c>
      <c r="C170" s="2">
        <v>41890</v>
      </c>
      <c r="D170" s="2" t="str">
        <f>LEFT(orders[[#This Row],[Ship Date]],FIND("0",F170)-1)</f>
        <v>9</v>
      </c>
      <c r="E170" s="2" t="str">
        <f>RIGHT(orders[[#This Row],[Ship Date]],4)</f>
        <v>2014</v>
      </c>
      <c r="F170" s="4" t="s">
        <v>2076</v>
      </c>
      <c r="G170" t="s">
        <v>44</v>
      </c>
      <c r="H170" t="s">
        <v>622</v>
      </c>
      <c r="I170" t="s">
        <v>623</v>
      </c>
      <c r="J170" t="s">
        <v>23</v>
      </c>
      <c r="K170" s="5" t="s">
        <v>1936</v>
      </c>
      <c r="L170" s="5" t="str">
        <f t="shared" si="2"/>
        <v>San Antonio</v>
      </c>
      <c r="M170" t="s">
        <v>94</v>
      </c>
      <c r="N170">
        <v>78207</v>
      </c>
      <c r="O170" t="s">
        <v>95</v>
      </c>
      <c r="P170" t="s">
        <v>633</v>
      </c>
      <c r="Q170" t="s">
        <v>40</v>
      </c>
      <c r="R170" t="s">
        <v>61</v>
      </c>
      <c r="S170" t="s">
        <v>634</v>
      </c>
      <c r="T170">
        <v>32.064</v>
      </c>
      <c r="U170">
        <v>6</v>
      </c>
      <c r="V170">
        <v>0.2</v>
      </c>
      <c r="W170">
        <v>6.8135999999999974</v>
      </c>
    </row>
    <row r="171" spans="1:23" x14ac:dyDescent="0.3">
      <c r="A171">
        <v>170</v>
      </c>
      <c r="B171" t="s">
        <v>621</v>
      </c>
      <c r="C171" s="2">
        <v>41890</v>
      </c>
      <c r="D171" s="2" t="str">
        <f>LEFT(orders[[#This Row],[Ship Date]],FIND("0",F171)-1)</f>
        <v>9</v>
      </c>
      <c r="E171" s="2" t="str">
        <f>RIGHT(orders[[#This Row],[Ship Date]],4)</f>
        <v>2014</v>
      </c>
      <c r="F171" s="4" t="s">
        <v>2076</v>
      </c>
      <c r="G171" t="s">
        <v>44</v>
      </c>
      <c r="H171" t="s">
        <v>622</v>
      </c>
      <c r="I171" t="s">
        <v>623</v>
      </c>
      <c r="J171" t="s">
        <v>23</v>
      </c>
      <c r="K171" s="5" t="s">
        <v>1936</v>
      </c>
      <c r="L171" s="5" t="str">
        <f t="shared" si="2"/>
        <v>San Antonio</v>
      </c>
      <c r="M171" t="s">
        <v>94</v>
      </c>
      <c r="N171">
        <v>78207</v>
      </c>
      <c r="O171" t="s">
        <v>95</v>
      </c>
      <c r="P171" t="s">
        <v>635</v>
      </c>
      <c r="Q171" t="s">
        <v>40</v>
      </c>
      <c r="R171" t="s">
        <v>71</v>
      </c>
      <c r="S171" t="s">
        <v>636</v>
      </c>
      <c r="T171">
        <v>177.97999999999996</v>
      </c>
      <c r="U171">
        <v>5</v>
      </c>
      <c r="V171">
        <v>0.8</v>
      </c>
      <c r="W171">
        <v>-453.84900000000005</v>
      </c>
    </row>
    <row r="172" spans="1:23" x14ac:dyDescent="0.3">
      <c r="A172">
        <v>171</v>
      </c>
      <c r="B172" t="s">
        <v>621</v>
      </c>
      <c r="C172" s="2">
        <v>41890</v>
      </c>
      <c r="D172" s="2" t="str">
        <f>LEFT(orders[[#This Row],[Ship Date]],FIND("0",F172)-1)</f>
        <v>9</v>
      </c>
      <c r="E172" s="2" t="str">
        <f>RIGHT(orders[[#This Row],[Ship Date]],4)</f>
        <v>2014</v>
      </c>
      <c r="F172" s="4" t="s">
        <v>2076</v>
      </c>
      <c r="G172" t="s">
        <v>44</v>
      </c>
      <c r="H172" t="s">
        <v>622</v>
      </c>
      <c r="I172" t="s">
        <v>623</v>
      </c>
      <c r="J172" t="s">
        <v>23</v>
      </c>
      <c r="K172" s="5" t="s">
        <v>1936</v>
      </c>
      <c r="L172" s="5" t="str">
        <f t="shared" si="2"/>
        <v>San Antonio</v>
      </c>
      <c r="M172" t="s">
        <v>94</v>
      </c>
      <c r="N172">
        <v>78207</v>
      </c>
      <c r="O172" t="s">
        <v>95</v>
      </c>
      <c r="P172" t="s">
        <v>637</v>
      </c>
      <c r="Q172" t="s">
        <v>64</v>
      </c>
      <c r="R172" t="s">
        <v>65</v>
      </c>
      <c r="S172" t="s">
        <v>638</v>
      </c>
      <c r="T172">
        <v>143.976</v>
      </c>
      <c r="U172">
        <v>3</v>
      </c>
      <c r="V172">
        <v>0.2</v>
      </c>
      <c r="W172">
        <v>8.998500000000007</v>
      </c>
    </row>
    <row r="173" spans="1:23" x14ac:dyDescent="0.3">
      <c r="A173">
        <v>172</v>
      </c>
      <c r="B173" t="s">
        <v>639</v>
      </c>
      <c r="C173" s="2">
        <v>41856</v>
      </c>
      <c r="D173" s="2" t="str">
        <f>LEFT(orders[[#This Row],[Ship Date]],FIND("0",F173)-1)</f>
        <v>8</v>
      </c>
      <c r="E173" s="2" t="str">
        <f>RIGHT(orders[[#This Row],[Ship Date]],4)</f>
        <v>2014</v>
      </c>
      <c r="F173" s="4" t="s">
        <v>2077</v>
      </c>
      <c r="G173" t="s">
        <v>44</v>
      </c>
      <c r="H173" t="s">
        <v>640</v>
      </c>
      <c r="I173" t="s">
        <v>641</v>
      </c>
      <c r="J173" t="s">
        <v>23</v>
      </c>
      <c r="K173" s="5" t="s">
        <v>1885</v>
      </c>
      <c r="L173" s="5" t="str">
        <f t="shared" si="2"/>
        <v>Los Angeles</v>
      </c>
      <c r="M173" t="s">
        <v>37</v>
      </c>
      <c r="N173">
        <v>90004</v>
      </c>
      <c r="O173" t="s">
        <v>38</v>
      </c>
      <c r="P173" t="s">
        <v>642</v>
      </c>
      <c r="Q173" t="s">
        <v>40</v>
      </c>
      <c r="R173" t="s">
        <v>82</v>
      </c>
      <c r="S173" t="s">
        <v>643</v>
      </c>
      <c r="T173">
        <v>20.94</v>
      </c>
      <c r="U173">
        <v>3</v>
      </c>
      <c r="V173">
        <v>0</v>
      </c>
      <c r="W173">
        <v>9.841800000000001</v>
      </c>
    </row>
    <row r="174" spans="1:23" x14ac:dyDescent="0.3">
      <c r="A174">
        <v>173</v>
      </c>
      <c r="B174" t="s">
        <v>639</v>
      </c>
      <c r="C174" s="2">
        <v>41856</v>
      </c>
      <c r="D174" s="2" t="str">
        <f>LEFT(orders[[#This Row],[Ship Date]],FIND("0",F174)-1)</f>
        <v>8</v>
      </c>
      <c r="E174" s="2" t="str">
        <f>RIGHT(orders[[#This Row],[Ship Date]],4)</f>
        <v>2014</v>
      </c>
      <c r="F174" s="4" t="s">
        <v>2077</v>
      </c>
      <c r="G174" t="s">
        <v>44</v>
      </c>
      <c r="H174" t="s">
        <v>640</v>
      </c>
      <c r="I174" t="s">
        <v>641</v>
      </c>
      <c r="J174" t="s">
        <v>23</v>
      </c>
      <c r="K174" s="5" t="s">
        <v>1885</v>
      </c>
      <c r="L174" s="5" t="str">
        <f t="shared" si="2"/>
        <v>Los Angeles</v>
      </c>
      <c r="M174" t="s">
        <v>37</v>
      </c>
      <c r="N174">
        <v>90004</v>
      </c>
      <c r="O174" t="s">
        <v>38</v>
      </c>
      <c r="P174" t="s">
        <v>644</v>
      </c>
      <c r="Q174" t="s">
        <v>40</v>
      </c>
      <c r="R174" t="s">
        <v>82</v>
      </c>
      <c r="S174" t="s">
        <v>645</v>
      </c>
      <c r="T174">
        <v>110.96</v>
      </c>
      <c r="U174">
        <v>2</v>
      </c>
      <c r="V174">
        <v>0</v>
      </c>
      <c r="W174">
        <v>53.260799999999996</v>
      </c>
    </row>
    <row r="175" spans="1:23" x14ac:dyDescent="0.3">
      <c r="A175">
        <v>174</v>
      </c>
      <c r="B175" t="s">
        <v>639</v>
      </c>
      <c r="C175" s="2">
        <v>41856</v>
      </c>
      <c r="D175" s="2" t="str">
        <f>LEFT(orders[[#This Row],[Ship Date]],FIND("0",F175)-1)</f>
        <v>8</v>
      </c>
      <c r="E175" s="2" t="str">
        <f>RIGHT(orders[[#This Row],[Ship Date]],4)</f>
        <v>2014</v>
      </c>
      <c r="F175" s="4" t="s">
        <v>2077</v>
      </c>
      <c r="G175" t="s">
        <v>44</v>
      </c>
      <c r="H175" t="s">
        <v>640</v>
      </c>
      <c r="I175" t="s">
        <v>641</v>
      </c>
      <c r="J175" t="s">
        <v>23</v>
      </c>
      <c r="K175" s="5" t="s">
        <v>1885</v>
      </c>
      <c r="L175" s="5" t="str">
        <f t="shared" si="2"/>
        <v>Los Angeles</v>
      </c>
      <c r="M175" t="s">
        <v>37</v>
      </c>
      <c r="N175">
        <v>90004</v>
      </c>
      <c r="O175" t="s">
        <v>38</v>
      </c>
      <c r="P175" t="s">
        <v>646</v>
      </c>
      <c r="Q175" t="s">
        <v>27</v>
      </c>
      <c r="R175" t="s">
        <v>31</v>
      </c>
      <c r="S175" t="s">
        <v>647</v>
      </c>
      <c r="T175">
        <v>340.14400000000006</v>
      </c>
      <c r="U175">
        <v>7</v>
      </c>
      <c r="V175">
        <v>0.2</v>
      </c>
      <c r="W175">
        <v>21.259</v>
      </c>
    </row>
    <row r="176" spans="1:23" x14ac:dyDescent="0.3">
      <c r="A176">
        <v>175</v>
      </c>
      <c r="B176" t="s">
        <v>648</v>
      </c>
      <c r="C176" s="2">
        <v>41896</v>
      </c>
      <c r="D176" s="2" t="str">
        <f>LEFT(orders[[#This Row],[Ship Date]],FIND("0",F176)-1)</f>
        <v>9</v>
      </c>
      <c r="E176" s="2" t="str">
        <f>RIGHT(orders[[#This Row],[Ship Date]],4)</f>
        <v>2014</v>
      </c>
      <c r="F176" s="4" t="s">
        <v>2078</v>
      </c>
      <c r="G176" t="s">
        <v>44</v>
      </c>
      <c r="H176" t="s">
        <v>649</v>
      </c>
      <c r="I176" t="s">
        <v>650</v>
      </c>
      <c r="J176" t="s">
        <v>36</v>
      </c>
      <c r="K176" s="5" t="s">
        <v>1906</v>
      </c>
      <c r="L176" s="5" t="str">
        <f t="shared" si="2"/>
        <v>Chicago</v>
      </c>
      <c r="M176" t="s">
        <v>192</v>
      </c>
      <c r="N176">
        <v>60623</v>
      </c>
      <c r="O176" t="s">
        <v>95</v>
      </c>
      <c r="P176" t="s">
        <v>651</v>
      </c>
      <c r="Q176" t="s">
        <v>40</v>
      </c>
      <c r="R176" t="s">
        <v>71</v>
      </c>
      <c r="S176" t="s">
        <v>652</v>
      </c>
      <c r="T176">
        <v>52.447999999999993</v>
      </c>
      <c r="U176">
        <v>2</v>
      </c>
      <c r="V176">
        <v>0.8</v>
      </c>
      <c r="W176">
        <v>-131.12000000000003</v>
      </c>
    </row>
    <row r="177" spans="1:23" x14ac:dyDescent="0.3">
      <c r="A177">
        <v>176</v>
      </c>
      <c r="B177" t="s">
        <v>648</v>
      </c>
      <c r="C177" s="2">
        <v>41896</v>
      </c>
      <c r="D177" s="2" t="str">
        <f>LEFT(orders[[#This Row],[Ship Date]],FIND("0",F177)-1)</f>
        <v>9</v>
      </c>
      <c r="E177" s="2" t="str">
        <f>RIGHT(orders[[#This Row],[Ship Date]],4)</f>
        <v>2014</v>
      </c>
      <c r="F177" s="4" t="s">
        <v>2078</v>
      </c>
      <c r="G177" t="s">
        <v>44</v>
      </c>
      <c r="H177" t="s">
        <v>649</v>
      </c>
      <c r="I177" t="s">
        <v>650</v>
      </c>
      <c r="J177" t="s">
        <v>36</v>
      </c>
      <c r="K177" s="5" t="s">
        <v>1906</v>
      </c>
      <c r="L177" s="5" t="str">
        <f t="shared" si="2"/>
        <v>Chicago</v>
      </c>
      <c r="M177" t="s">
        <v>192</v>
      </c>
      <c r="N177">
        <v>60623</v>
      </c>
      <c r="O177" t="s">
        <v>95</v>
      </c>
      <c r="P177" t="s">
        <v>653</v>
      </c>
      <c r="Q177" t="s">
        <v>40</v>
      </c>
      <c r="R177" t="s">
        <v>41</v>
      </c>
      <c r="S177" t="s">
        <v>654</v>
      </c>
      <c r="T177">
        <v>20.16</v>
      </c>
      <c r="U177">
        <v>4</v>
      </c>
      <c r="V177">
        <v>0.2</v>
      </c>
      <c r="W177">
        <v>6.5519999999999987</v>
      </c>
    </row>
    <row r="178" spans="1:23" x14ac:dyDescent="0.3">
      <c r="A178">
        <v>177</v>
      </c>
      <c r="B178" t="s">
        <v>655</v>
      </c>
      <c r="C178" s="2">
        <v>42846</v>
      </c>
      <c r="D178" s="2" t="str">
        <f>LEFT(orders[[#This Row],[Ship Date]],FIND("0",F178)-1)</f>
        <v>4</v>
      </c>
      <c r="E178" s="2" t="str">
        <f>RIGHT(orders[[#This Row],[Ship Date]],4)</f>
        <v>2017</v>
      </c>
      <c r="F178" s="4" t="s">
        <v>2079</v>
      </c>
      <c r="G178" t="s">
        <v>20</v>
      </c>
      <c r="H178" t="s">
        <v>656</v>
      </c>
      <c r="I178" t="s">
        <v>657</v>
      </c>
      <c r="J178" t="s">
        <v>23</v>
      </c>
      <c r="K178" s="5" t="s">
        <v>1896</v>
      </c>
      <c r="L178" s="5" t="str">
        <f t="shared" si="2"/>
        <v>Houston</v>
      </c>
      <c r="M178" t="s">
        <v>94</v>
      </c>
      <c r="N178">
        <v>77036</v>
      </c>
      <c r="O178" t="s">
        <v>95</v>
      </c>
      <c r="P178" t="s">
        <v>658</v>
      </c>
      <c r="Q178" t="s">
        <v>40</v>
      </c>
      <c r="R178" t="s">
        <v>71</v>
      </c>
      <c r="S178" t="s">
        <v>659</v>
      </c>
      <c r="T178">
        <v>97.263999999999982</v>
      </c>
      <c r="U178">
        <v>4</v>
      </c>
      <c r="V178">
        <v>0.8</v>
      </c>
      <c r="W178">
        <v>-243.16000000000008</v>
      </c>
    </row>
    <row r="179" spans="1:23" x14ac:dyDescent="0.3">
      <c r="A179">
        <v>178</v>
      </c>
      <c r="B179" t="s">
        <v>660</v>
      </c>
      <c r="C179" s="2">
        <v>42329</v>
      </c>
      <c r="D179" s="2" t="str">
        <f>LEFT(orders[[#This Row],[Ship Date]],FIND("0",F179)-1)</f>
        <v>11</v>
      </c>
      <c r="E179" s="2" t="str">
        <f>RIGHT(orders[[#This Row],[Ship Date]],4)</f>
        <v>2015</v>
      </c>
      <c r="F179" s="4" t="s">
        <v>2080</v>
      </c>
      <c r="G179" t="s">
        <v>20</v>
      </c>
      <c r="H179" t="s">
        <v>302</v>
      </c>
      <c r="I179" t="s">
        <v>303</v>
      </c>
      <c r="J179" t="s">
        <v>23</v>
      </c>
      <c r="K179" s="5" t="s">
        <v>1930</v>
      </c>
      <c r="L179" s="5" t="str">
        <f t="shared" si="2"/>
        <v>Newark</v>
      </c>
      <c r="M179" t="s">
        <v>455</v>
      </c>
      <c r="N179">
        <v>43055</v>
      </c>
      <c r="O179" t="s">
        <v>133</v>
      </c>
      <c r="P179" t="s">
        <v>661</v>
      </c>
      <c r="Q179" t="s">
        <v>27</v>
      </c>
      <c r="R179" t="s">
        <v>31</v>
      </c>
      <c r="S179" t="s">
        <v>662</v>
      </c>
      <c r="T179">
        <v>396.80200000000002</v>
      </c>
      <c r="U179">
        <v>7</v>
      </c>
      <c r="V179">
        <v>0.3</v>
      </c>
      <c r="W179">
        <v>-11.337199999999939</v>
      </c>
    </row>
    <row r="180" spans="1:23" x14ac:dyDescent="0.3">
      <c r="A180">
        <v>179</v>
      </c>
      <c r="B180" t="s">
        <v>660</v>
      </c>
      <c r="C180" s="2">
        <v>42329</v>
      </c>
      <c r="D180" s="2" t="str">
        <f>LEFT(orders[[#This Row],[Ship Date]],FIND("0",F180)-1)</f>
        <v>11</v>
      </c>
      <c r="E180" s="2" t="str">
        <f>RIGHT(orders[[#This Row],[Ship Date]],4)</f>
        <v>2015</v>
      </c>
      <c r="F180" s="4" t="s">
        <v>2080</v>
      </c>
      <c r="G180" t="s">
        <v>20</v>
      </c>
      <c r="H180" t="s">
        <v>302</v>
      </c>
      <c r="I180" t="s">
        <v>303</v>
      </c>
      <c r="J180" t="s">
        <v>23</v>
      </c>
      <c r="K180" s="5" t="s">
        <v>1930</v>
      </c>
      <c r="L180" s="5" t="str">
        <f t="shared" si="2"/>
        <v>Newark</v>
      </c>
      <c r="M180" t="s">
        <v>455</v>
      </c>
      <c r="N180">
        <v>43055</v>
      </c>
      <c r="O180" t="s">
        <v>133</v>
      </c>
      <c r="P180" t="s">
        <v>663</v>
      </c>
      <c r="Q180" t="s">
        <v>40</v>
      </c>
      <c r="R180" t="s">
        <v>531</v>
      </c>
      <c r="S180" t="s">
        <v>664</v>
      </c>
      <c r="T180">
        <v>15.88</v>
      </c>
      <c r="U180">
        <v>5</v>
      </c>
      <c r="V180">
        <v>0.2</v>
      </c>
      <c r="W180">
        <v>-3.771500000000001</v>
      </c>
    </row>
    <row r="181" spans="1:23" x14ac:dyDescent="0.3">
      <c r="A181">
        <v>180</v>
      </c>
      <c r="B181" t="s">
        <v>665</v>
      </c>
      <c r="C181" s="2">
        <v>42353</v>
      </c>
      <c r="D181" s="2" t="str">
        <f>LEFT(orders[[#This Row],[Ship Date]],FIND("0",F181)-1)</f>
        <v>12</v>
      </c>
      <c r="E181" s="2" t="str">
        <f>RIGHT(orders[[#This Row],[Ship Date]],4)</f>
        <v>2015</v>
      </c>
      <c r="F181" s="4" t="s">
        <v>2081</v>
      </c>
      <c r="G181" t="s">
        <v>44</v>
      </c>
      <c r="H181" t="s">
        <v>666</v>
      </c>
      <c r="I181" t="s">
        <v>667</v>
      </c>
      <c r="J181" t="s">
        <v>93</v>
      </c>
      <c r="K181" s="5" t="s">
        <v>1904</v>
      </c>
      <c r="L181" s="5" t="str">
        <f t="shared" si="2"/>
        <v>New York City</v>
      </c>
      <c r="M181" t="s">
        <v>242</v>
      </c>
      <c r="N181">
        <v>10009</v>
      </c>
      <c r="O181" t="s">
        <v>133</v>
      </c>
      <c r="P181" t="s">
        <v>668</v>
      </c>
      <c r="Q181" t="s">
        <v>40</v>
      </c>
      <c r="R181" t="s">
        <v>61</v>
      </c>
      <c r="S181" t="s">
        <v>669</v>
      </c>
      <c r="T181">
        <v>3.28</v>
      </c>
      <c r="U181">
        <v>1</v>
      </c>
      <c r="V181">
        <v>0</v>
      </c>
      <c r="W181">
        <v>1.4104000000000001</v>
      </c>
    </row>
    <row r="182" spans="1:23" x14ac:dyDescent="0.3">
      <c r="A182">
        <v>181</v>
      </c>
      <c r="B182" t="s">
        <v>670</v>
      </c>
      <c r="C182" s="2">
        <v>41978</v>
      </c>
      <c r="D182" s="2" t="str">
        <f>LEFT(orders[[#This Row],[Ship Date]],FIND("0",F182)-1)</f>
        <v>12</v>
      </c>
      <c r="E182" s="2" t="str">
        <f>RIGHT(orders[[#This Row],[Ship Date]],4)</f>
        <v>2014</v>
      </c>
      <c r="F182" s="4" t="s">
        <v>2082</v>
      </c>
      <c r="G182" t="s">
        <v>20</v>
      </c>
      <c r="H182" t="s">
        <v>671</v>
      </c>
      <c r="I182" t="s">
        <v>672</v>
      </c>
      <c r="J182" t="s">
        <v>36</v>
      </c>
      <c r="K182" s="5" t="s">
        <v>1911</v>
      </c>
      <c r="L182" s="5" t="str">
        <f t="shared" si="2"/>
        <v>Decatur</v>
      </c>
      <c r="M182" t="s">
        <v>192</v>
      </c>
      <c r="N182">
        <v>62521</v>
      </c>
      <c r="O182" t="s">
        <v>95</v>
      </c>
      <c r="P182" t="s">
        <v>673</v>
      </c>
      <c r="Q182" t="s">
        <v>40</v>
      </c>
      <c r="R182" t="s">
        <v>52</v>
      </c>
      <c r="S182" t="s">
        <v>674</v>
      </c>
      <c r="T182">
        <v>24.816000000000003</v>
      </c>
      <c r="U182">
        <v>2</v>
      </c>
      <c r="V182">
        <v>0.2</v>
      </c>
      <c r="W182">
        <v>1.8612000000000002</v>
      </c>
    </row>
    <row r="183" spans="1:23" x14ac:dyDescent="0.3">
      <c r="A183">
        <v>182</v>
      </c>
      <c r="B183" t="s">
        <v>670</v>
      </c>
      <c r="C183" s="2">
        <v>41978</v>
      </c>
      <c r="D183" s="2" t="str">
        <f>LEFT(orders[[#This Row],[Ship Date]],FIND("0",F183)-1)</f>
        <v>12</v>
      </c>
      <c r="E183" s="2" t="str">
        <f>RIGHT(orders[[#This Row],[Ship Date]],4)</f>
        <v>2014</v>
      </c>
      <c r="F183" s="4" t="s">
        <v>2082</v>
      </c>
      <c r="G183" t="s">
        <v>20</v>
      </c>
      <c r="H183" t="s">
        <v>671</v>
      </c>
      <c r="I183" t="s">
        <v>672</v>
      </c>
      <c r="J183" t="s">
        <v>36</v>
      </c>
      <c r="K183" s="5" t="s">
        <v>1911</v>
      </c>
      <c r="L183" s="5" t="str">
        <f t="shared" si="2"/>
        <v>Decatur</v>
      </c>
      <c r="M183" t="s">
        <v>192</v>
      </c>
      <c r="N183">
        <v>62521</v>
      </c>
      <c r="O183" t="s">
        <v>95</v>
      </c>
      <c r="P183" t="s">
        <v>675</v>
      </c>
      <c r="Q183" t="s">
        <v>64</v>
      </c>
      <c r="R183" t="s">
        <v>145</v>
      </c>
      <c r="S183" t="s">
        <v>676</v>
      </c>
      <c r="T183">
        <v>408.74399999999997</v>
      </c>
      <c r="U183">
        <v>7</v>
      </c>
      <c r="V183">
        <v>0.2</v>
      </c>
      <c r="W183">
        <v>76.639499999999984</v>
      </c>
    </row>
    <row r="184" spans="1:23" x14ac:dyDescent="0.3">
      <c r="A184">
        <v>183</v>
      </c>
      <c r="B184" t="s">
        <v>677</v>
      </c>
      <c r="C184" s="2">
        <v>41962</v>
      </c>
      <c r="D184" s="2" t="str">
        <f>LEFT(orders[[#This Row],[Ship Date]],FIND("0",F184)-1)</f>
        <v>11</v>
      </c>
      <c r="E184" s="2" t="str">
        <f>RIGHT(orders[[#This Row],[Ship Date]],4)</f>
        <v>2014</v>
      </c>
      <c r="F184" s="4" t="s">
        <v>2083</v>
      </c>
      <c r="G184" t="s">
        <v>20</v>
      </c>
      <c r="H184" t="s">
        <v>678</v>
      </c>
      <c r="I184" t="s">
        <v>679</v>
      </c>
      <c r="J184" t="s">
        <v>93</v>
      </c>
      <c r="K184" s="5" t="s">
        <v>1937</v>
      </c>
      <c r="L184" s="5" t="str">
        <f t="shared" si="2"/>
        <v>Monroe</v>
      </c>
      <c r="M184" t="s">
        <v>680</v>
      </c>
      <c r="N184">
        <v>71203</v>
      </c>
      <c r="O184" t="s">
        <v>25</v>
      </c>
      <c r="P184" t="s">
        <v>681</v>
      </c>
      <c r="Q184" t="s">
        <v>64</v>
      </c>
      <c r="R184" t="s">
        <v>65</v>
      </c>
      <c r="S184" t="s">
        <v>682</v>
      </c>
      <c r="T184">
        <v>503.96</v>
      </c>
      <c r="U184">
        <v>4</v>
      </c>
      <c r="V184">
        <v>0</v>
      </c>
      <c r="W184">
        <v>131.02960000000002</v>
      </c>
    </row>
    <row r="185" spans="1:23" x14ac:dyDescent="0.3">
      <c r="A185">
        <v>184</v>
      </c>
      <c r="B185" t="s">
        <v>677</v>
      </c>
      <c r="C185" s="2">
        <v>41962</v>
      </c>
      <c r="D185" s="2" t="str">
        <f>LEFT(orders[[#This Row],[Ship Date]],FIND("0",F185)-1)</f>
        <v>11</v>
      </c>
      <c r="E185" s="2" t="str">
        <f>RIGHT(orders[[#This Row],[Ship Date]],4)</f>
        <v>2014</v>
      </c>
      <c r="F185" s="4" t="s">
        <v>2083</v>
      </c>
      <c r="G185" t="s">
        <v>20</v>
      </c>
      <c r="H185" t="s">
        <v>678</v>
      </c>
      <c r="I185" t="s">
        <v>679</v>
      </c>
      <c r="J185" t="s">
        <v>93</v>
      </c>
      <c r="K185" s="5" t="s">
        <v>1937</v>
      </c>
      <c r="L185" s="5" t="str">
        <f t="shared" si="2"/>
        <v>Monroe</v>
      </c>
      <c r="M185" t="s">
        <v>680</v>
      </c>
      <c r="N185">
        <v>71203</v>
      </c>
      <c r="O185" t="s">
        <v>25</v>
      </c>
      <c r="P185" t="s">
        <v>683</v>
      </c>
      <c r="Q185" t="s">
        <v>64</v>
      </c>
      <c r="R185" t="s">
        <v>65</v>
      </c>
      <c r="S185" t="s">
        <v>684</v>
      </c>
      <c r="T185">
        <v>149.94999999999999</v>
      </c>
      <c r="U185">
        <v>5</v>
      </c>
      <c r="V185">
        <v>0</v>
      </c>
      <c r="W185">
        <v>41.986000000000004</v>
      </c>
    </row>
    <row r="186" spans="1:23" x14ac:dyDescent="0.3">
      <c r="A186">
        <v>185</v>
      </c>
      <c r="B186" t="s">
        <v>677</v>
      </c>
      <c r="C186" s="2">
        <v>41962</v>
      </c>
      <c r="D186" s="2" t="str">
        <f>LEFT(orders[[#This Row],[Ship Date]],FIND("0",F186)-1)</f>
        <v>11</v>
      </c>
      <c r="E186" s="2" t="str">
        <f>RIGHT(orders[[#This Row],[Ship Date]],4)</f>
        <v>2014</v>
      </c>
      <c r="F186" s="4" t="s">
        <v>2083</v>
      </c>
      <c r="G186" t="s">
        <v>20</v>
      </c>
      <c r="H186" t="s">
        <v>678</v>
      </c>
      <c r="I186" t="s">
        <v>679</v>
      </c>
      <c r="J186" t="s">
        <v>93</v>
      </c>
      <c r="K186" s="5" t="s">
        <v>1937</v>
      </c>
      <c r="L186" s="5" t="str">
        <f t="shared" si="2"/>
        <v>Monroe</v>
      </c>
      <c r="M186" t="s">
        <v>680</v>
      </c>
      <c r="N186">
        <v>71203</v>
      </c>
      <c r="O186" t="s">
        <v>25</v>
      </c>
      <c r="P186" t="s">
        <v>685</v>
      </c>
      <c r="Q186" t="s">
        <v>64</v>
      </c>
      <c r="R186" t="s">
        <v>145</v>
      </c>
      <c r="S186" t="s">
        <v>686</v>
      </c>
      <c r="T186">
        <v>29</v>
      </c>
      <c r="U186">
        <v>2</v>
      </c>
      <c r="V186">
        <v>0</v>
      </c>
      <c r="W186">
        <v>7.25</v>
      </c>
    </row>
    <row r="187" spans="1:23" x14ac:dyDescent="0.3">
      <c r="A187">
        <v>186</v>
      </c>
      <c r="B187" t="s">
        <v>687</v>
      </c>
      <c r="C187" s="2">
        <v>42702</v>
      </c>
      <c r="D187" s="2" t="str">
        <f>LEFT(orders[[#This Row],[Ship Date]],FIND("0",F187)-1)</f>
        <v>12</v>
      </c>
      <c r="E187" s="2" t="str">
        <f>RIGHT(orders[[#This Row],[Ship Date]],4)</f>
        <v>2016</v>
      </c>
      <c r="F187" s="4" t="s">
        <v>2084</v>
      </c>
      <c r="G187" t="s">
        <v>44</v>
      </c>
      <c r="H187" t="s">
        <v>688</v>
      </c>
      <c r="I187" t="s">
        <v>689</v>
      </c>
      <c r="J187" t="s">
        <v>23</v>
      </c>
      <c r="K187" s="5" t="s">
        <v>1938</v>
      </c>
      <c r="L187" s="5" t="str">
        <f t="shared" si="2"/>
        <v>Fairfield</v>
      </c>
      <c r="M187" t="s">
        <v>690</v>
      </c>
      <c r="N187">
        <v>6824</v>
      </c>
      <c r="O187" t="s">
        <v>133</v>
      </c>
      <c r="P187" t="s">
        <v>691</v>
      </c>
      <c r="Q187" t="s">
        <v>40</v>
      </c>
      <c r="R187" t="s">
        <v>68</v>
      </c>
      <c r="S187" t="s">
        <v>692</v>
      </c>
      <c r="T187">
        <v>7.16</v>
      </c>
      <c r="U187">
        <v>2</v>
      </c>
      <c r="V187">
        <v>0</v>
      </c>
      <c r="W187">
        <v>3.4367999999999999</v>
      </c>
    </row>
    <row r="188" spans="1:23" x14ac:dyDescent="0.3">
      <c r="A188">
        <v>187</v>
      </c>
      <c r="B188" t="s">
        <v>693</v>
      </c>
      <c r="C188" s="2">
        <v>41877</v>
      </c>
      <c r="D188" s="2" t="str">
        <f>LEFT(orders[[#This Row],[Ship Date]],FIND("0",F188)-1)</f>
        <v>8</v>
      </c>
      <c r="E188" s="2" t="str">
        <f>RIGHT(orders[[#This Row],[Ship Date]],4)</f>
        <v>2014</v>
      </c>
      <c r="F188" s="4" t="s">
        <v>2085</v>
      </c>
      <c r="G188" t="s">
        <v>44</v>
      </c>
      <c r="H188" t="s">
        <v>694</v>
      </c>
      <c r="I188" t="s">
        <v>695</v>
      </c>
      <c r="J188" t="s">
        <v>93</v>
      </c>
      <c r="K188" s="5" t="s">
        <v>1885</v>
      </c>
      <c r="L188" s="5" t="str">
        <f t="shared" si="2"/>
        <v>Los Angeles</v>
      </c>
      <c r="M188" t="s">
        <v>37</v>
      </c>
      <c r="N188">
        <v>90032</v>
      </c>
      <c r="O188" t="s">
        <v>38</v>
      </c>
      <c r="P188" t="s">
        <v>696</v>
      </c>
      <c r="Q188" t="s">
        <v>64</v>
      </c>
      <c r="R188" t="s">
        <v>145</v>
      </c>
      <c r="S188" t="s">
        <v>697</v>
      </c>
      <c r="T188">
        <v>176.8</v>
      </c>
      <c r="U188">
        <v>8</v>
      </c>
      <c r="V188">
        <v>0</v>
      </c>
      <c r="W188">
        <v>22.984000000000009</v>
      </c>
    </row>
    <row r="189" spans="1:23" x14ac:dyDescent="0.3">
      <c r="A189">
        <v>188</v>
      </c>
      <c r="B189" t="s">
        <v>698</v>
      </c>
      <c r="C189" s="2">
        <v>42567</v>
      </c>
      <c r="D189" s="2" t="str">
        <f>LEFT(orders[[#This Row],[Ship Date]],FIND("0",F189)-1)</f>
        <v>7</v>
      </c>
      <c r="E189" s="2" t="str">
        <f>RIGHT(orders[[#This Row],[Ship Date]],4)</f>
        <v>2016</v>
      </c>
      <c r="F189" s="4" t="s">
        <v>2020</v>
      </c>
      <c r="G189" t="s">
        <v>44</v>
      </c>
      <c r="H189" t="s">
        <v>699</v>
      </c>
      <c r="I189" t="s">
        <v>700</v>
      </c>
      <c r="J189" t="s">
        <v>36</v>
      </c>
      <c r="K189" s="5" t="s">
        <v>1939</v>
      </c>
      <c r="L189" s="5" t="str">
        <f t="shared" si="2"/>
        <v>Grand Prairie</v>
      </c>
      <c r="M189" t="s">
        <v>94</v>
      </c>
      <c r="N189">
        <v>75051</v>
      </c>
      <c r="O189" t="s">
        <v>95</v>
      </c>
      <c r="P189" t="s">
        <v>701</v>
      </c>
      <c r="Q189" t="s">
        <v>40</v>
      </c>
      <c r="R189" t="s">
        <v>52</v>
      </c>
      <c r="S189" t="s">
        <v>702</v>
      </c>
      <c r="T189">
        <v>37.224000000000004</v>
      </c>
      <c r="U189">
        <v>3</v>
      </c>
      <c r="V189">
        <v>0.2</v>
      </c>
      <c r="W189">
        <v>3.7224000000000004</v>
      </c>
    </row>
    <row r="190" spans="1:23" x14ac:dyDescent="0.3">
      <c r="A190">
        <v>189</v>
      </c>
      <c r="B190" t="s">
        <v>698</v>
      </c>
      <c r="C190" s="2">
        <v>42567</v>
      </c>
      <c r="D190" s="2" t="str">
        <f>LEFT(orders[[#This Row],[Ship Date]],FIND("0",F190)-1)</f>
        <v>7</v>
      </c>
      <c r="E190" s="2" t="str">
        <f>RIGHT(orders[[#This Row],[Ship Date]],4)</f>
        <v>2016</v>
      </c>
      <c r="F190" s="4" t="s">
        <v>2020</v>
      </c>
      <c r="G190" t="s">
        <v>44</v>
      </c>
      <c r="H190" t="s">
        <v>699</v>
      </c>
      <c r="I190" t="s">
        <v>700</v>
      </c>
      <c r="J190" t="s">
        <v>36</v>
      </c>
      <c r="K190" s="5" t="s">
        <v>1939</v>
      </c>
      <c r="L190" s="5" t="str">
        <f t="shared" si="2"/>
        <v>Grand Prairie</v>
      </c>
      <c r="M190" t="s">
        <v>94</v>
      </c>
      <c r="N190">
        <v>75051</v>
      </c>
      <c r="O190" t="s">
        <v>95</v>
      </c>
      <c r="P190" t="s">
        <v>578</v>
      </c>
      <c r="Q190" t="s">
        <v>40</v>
      </c>
      <c r="R190" t="s">
        <v>82</v>
      </c>
      <c r="S190" t="s">
        <v>579</v>
      </c>
      <c r="T190">
        <v>20.016000000000002</v>
      </c>
      <c r="U190">
        <v>3</v>
      </c>
      <c r="V190">
        <v>0.2</v>
      </c>
      <c r="W190">
        <v>6.2549999999999963</v>
      </c>
    </row>
    <row r="191" spans="1:23" x14ac:dyDescent="0.3">
      <c r="A191">
        <v>190</v>
      </c>
      <c r="B191" t="s">
        <v>703</v>
      </c>
      <c r="C191" s="2">
        <v>42289</v>
      </c>
      <c r="D191" s="2" t="str">
        <f>LEFT(orders[[#This Row],[Ship Date]],FIND("0",F191)-1)</f>
        <v>1</v>
      </c>
      <c r="E191" s="2" t="str">
        <f>RIGHT(orders[[#This Row],[Ship Date]],4)</f>
        <v>2015</v>
      </c>
      <c r="F191" s="4" t="s">
        <v>2086</v>
      </c>
      <c r="G191" t="s">
        <v>171</v>
      </c>
      <c r="H191" t="s">
        <v>704</v>
      </c>
      <c r="I191" t="s">
        <v>705</v>
      </c>
      <c r="J191" t="s">
        <v>93</v>
      </c>
      <c r="K191" s="5" t="s">
        <v>1904</v>
      </c>
      <c r="L191" s="5" t="str">
        <f t="shared" si="2"/>
        <v>New York City</v>
      </c>
      <c r="M191" t="s">
        <v>242</v>
      </c>
      <c r="N191">
        <v>10035</v>
      </c>
      <c r="O191" t="s">
        <v>133</v>
      </c>
      <c r="P191" t="s">
        <v>706</v>
      </c>
      <c r="Q191" t="s">
        <v>27</v>
      </c>
      <c r="R191" t="s">
        <v>28</v>
      </c>
      <c r="S191" t="s">
        <v>707</v>
      </c>
      <c r="T191">
        <v>899.13600000000008</v>
      </c>
      <c r="U191">
        <v>4</v>
      </c>
      <c r="V191">
        <v>0.2</v>
      </c>
      <c r="W191">
        <v>112.39199999999991</v>
      </c>
    </row>
    <row r="192" spans="1:23" x14ac:dyDescent="0.3">
      <c r="A192">
        <v>191</v>
      </c>
      <c r="B192" t="s">
        <v>703</v>
      </c>
      <c r="C192" s="2">
        <v>42289</v>
      </c>
      <c r="D192" s="2" t="str">
        <f>LEFT(orders[[#This Row],[Ship Date]],FIND("0",F192)-1)</f>
        <v>1</v>
      </c>
      <c r="E192" s="2" t="str">
        <f>RIGHT(orders[[#This Row],[Ship Date]],4)</f>
        <v>2015</v>
      </c>
      <c r="F192" s="4" t="s">
        <v>2086</v>
      </c>
      <c r="G192" t="s">
        <v>171</v>
      </c>
      <c r="H192" t="s">
        <v>704</v>
      </c>
      <c r="I192" t="s">
        <v>705</v>
      </c>
      <c r="J192" t="s">
        <v>93</v>
      </c>
      <c r="K192" s="5" t="s">
        <v>1904</v>
      </c>
      <c r="L192" s="5" t="str">
        <f t="shared" si="2"/>
        <v>New York City</v>
      </c>
      <c r="M192" t="s">
        <v>242</v>
      </c>
      <c r="N192">
        <v>10035</v>
      </c>
      <c r="O192" t="s">
        <v>133</v>
      </c>
      <c r="P192" t="s">
        <v>708</v>
      </c>
      <c r="Q192" t="s">
        <v>64</v>
      </c>
      <c r="R192" t="s">
        <v>65</v>
      </c>
      <c r="S192" t="s">
        <v>709</v>
      </c>
      <c r="T192">
        <v>71.760000000000005</v>
      </c>
      <c r="U192">
        <v>6</v>
      </c>
      <c r="V192">
        <v>0</v>
      </c>
      <c r="W192">
        <v>20.092800000000004</v>
      </c>
    </row>
    <row r="193" spans="1:23" x14ac:dyDescent="0.3">
      <c r="A193">
        <v>192</v>
      </c>
      <c r="B193" t="s">
        <v>703</v>
      </c>
      <c r="C193" s="2">
        <v>42289</v>
      </c>
      <c r="D193" s="2" t="str">
        <f>LEFT(orders[[#This Row],[Ship Date]],FIND("0",F193)-1)</f>
        <v>1</v>
      </c>
      <c r="E193" s="2" t="str">
        <f>RIGHT(orders[[#This Row],[Ship Date]],4)</f>
        <v>2015</v>
      </c>
      <c r="F193" s="4" t="s">
        <v>2086</v>
      </c>
      <c r="G193" t="s">
        <v>171</v>
      </c>
      <c r="H193" t="s">
        <v>704</v>
      </c>
      <c r="I193" t="s">
        <v>705</v>
      </c>
      <c r="J193" t="s">
        <v>93</v>
      </c>
      <c r="K193" s="5" t="s">
        <v>1904</v>
      </c>
      <c r="L193" s="5" t="str">
        <f t="shared" si="2"/>
        <v>New York City</v>
      </c>
      <c r="M193" t="s">
        <v>242</v>
      </c>
      <c r="N193">
        <v>10035</v>
      </c>
      <c r="O193" t="s">
        <v>133</v>
      </c>
      <c r="P193" t="s">
        <v>710</v>
      </c>
      <c r="Q193" t="s">
        <v>40</v>
      </c>
      <c r="R193" t="s">
        <v>82</v>
      </c>
      <c r="S193" t="s">
        <v>711</v>
      </c>
      <c r="T193">
        <v>51.84</v>
      </c>
      <c r="U193">
        <v>8</v>
      </c>
      <c r="V193">
        <v>0</v>
      </c>
      <c r="W193">
        <v>24.883200000000002</v>
      </c>
    </row>
    <row r="194" spans="1:23" x14ac:dyDescent="0.3">
      <c r="A194">
        <v>193</v>
      </c>
      <c r="B194" t="s">
        <v>703</v>
      </c>
      <c r="C194" s="2">
        <v>42289</v>
      </c>
      <c r="D194" s="2" t="str">
        <f>LEFT(orders[[#This Row],[Ship Date]],FIND("0",F194)-1)</f>
        <v>1</v>
      </c>
      <c r="E194" s="2" t="str">
        <f>RIGHT(orders[[#This Row],[Ship Date]],4)</f>
        <v>2015</v>
      </c>
      <c r="F194" s="4" t="s">
        <v>2086</v>
      </c>
      <c r="G194" t="s">
        <v>171</v>
      </c>
      <c r="H194" t="s">
        <v>704</v>
      </c>
      <c r="I194" t="s">
        <v>705</v>
      </c>
      <c r="J194" t="s">
        <v>93</v>
      </c>
      <c r="K194" s="5" t="s">
        <v>1904</v>
      </c>
      <c r="L194" s="5" t="str">
        <f t="shared" ref="L194:L257" si="3">_xlfn.TEXTAFTER(K194,",")</f>
        <v>New York City</v>
      </c>
      <c r="M194" t="s">
        <v>242</v>
      </c>
      <c r="N194">
        <v>10035</v>
      </c>
      <c r="O194" t="s">
        <v>133</v>
      </c>
      <c r="P194" t="s">
        <v>183</v>
      </c>
      <c r="Q194" t="s">
        <v>27</v>
      </c>
      <c r="R194" t="s">
        <v>28</v>
      </c>
      <c r="S194" t="s">
        <v>184</v>
      </c>
      <c r="T194">
        <v>626.35200000000009</v>
      </c>
      <c r="U194">
        <v>3</v>
      </c>
      <c r="V194">
        <v>0.2</v>
      </c>
      <c r="W194">
        <v>46.976400000000012</v>
      </c>
    </row>
    <row r="195" spans="1:23" x14ac:dyDescent="0.3">
      <c r="A195">
        <v>194</v>
      </c>
      <c r="B195" t="s">
        <v>703</v>
      </c>
      <c r="C195" s="2">
        <v>42289</v>
      </c>
      <c r="D195" s="2" t="str">
        <f>LEFT(orders[[#This Row],[Ship Date]],FIND("0",F195)-1)</f>
        <v>1</v>
      </c>
      <c r="E195" s="2" t="str">
        <f>RIGHT(orders[[#This Row],[Ship Date]],4)</f>
        <v>2015</v>
      </c>
      <c r="F195" s="4" t="s">
        <v>2086</v>
      </c>
      <c r="G195" t="s">
        <v>171</v>
      </c>
      <c r="H195" t="s">
        <v>704</v>
      </c>
      <c r="I195" t="s">
        <v>705</v>
      </c>
      <c r="J195" t="s">
        <v>93</v>
      </c>
      <c r="K195" s="5" t="s">
        <v>1904</v>
      </c>
      <c r="L195" s="5" t="str">
        <f t="shared" si="3"/>
        <v>New York City</v>
      </c>
      <c r="M195" t="s">
        <v>242</v>
      </c>
      <c r="N195">
        <v>10035</v>
      </c>
      <c r="O195" t="s">
        <v>133</v>
      </c>
      <c r="P195" t="s">
        <v>712</v>
      </c>
      <c r="Q195" t="s">
        <v>40</v>
      </c>
      <c r="R195" t="s">
        <v>61</v>
      </c>
      <c r="S195" t="s">
        <v>713</v>
      </c>
      <c r="T195">
        <v>19.899999999999999</v>
      </c>
      <c r="U195">
        <v>5</v>
      </c>
      <c r="V195">
        <v>0</v>
      </c>
      <c r="W195">
        <v>6.5669999999999984</v>
      </c>
    </row>
    <row r="196" spans="1:23" x14ac:dyDescent="0.3">
      <c r="A196">
        <v>195</v>
      </c>
      <c r="B196" t="s">
        <v>714</v>
      </c>
      <c r="C196" s="2">
        <v>42308</v>
      </c>
      <c r="D196" s="2" t="str">
        <f>LEFT(orders[[#This Row],[Ship Date]],FIND("0",F196)-1)</f>
        <v>11</v>
      </c>
      <c r="E196" s="2" t="str">
        <f>RIGHT(orders[[#This Row],[Ship Date]],4)</f>
        <v>2015</v>
      </c>
      <c r="F196" s="4" t="s">
        <v>2087</v>
      </c>
      <c r="G196" t="s">
        <v>44</v>
      </c>
      <c r="H196" t="s">
        <v>715</v>
      </c>
      <c r="I196" t="s">
        <v>716</v>
      </c>
      <c r="J196" t="s">
        <v>36</v>
      </c>
      <c r="K196" s="5" t="s">
        <v>1940</v>
      </c>
      <c r="L196" s="5" t="str">
        <f t="shared" si="3"/>
        <v>Redlands</v>
      </c>
      <c r="M196" t="s">
        <v>37</v>
      </c>
      <c r="N196">
        <v>92374</v>
      </c>
      <c r="O196" t="s">
        <v>38</v>
      </c>
      <c r="P196" t="s">
        <v>156</v>
      </c>
      <c r="Q196" t="s">
        <v>40</v>
      </c>
      <c r="R196" t="s">
        <v>157</v>
      </c>
      <c r="S196" t="s">
        <v>158</v>
      </c>
      <c r="T196">
        <v>14.280000000000001</v>
      </c>
      <c r="U196">
        <v>7</v>
      </c>
      <c r="V196">
        <v>0</v>
      </c>
      <c r="W196">
        <v>6.7115999999999989</v>
      </c>
    </row>
    <row r="197" spans="1:23" x14ac:dyDescent="0.3">
      <c r="A197">
        <v>196</v>
      </c>
      <c r="B197" t="s">
        <v>717</v>
      </c>
      <c r="C197" s="2">
        <v>41719</v>
      </c>
      <c r="D197" s="2" t="str">
        <f>LEFT(orders[[#This Row],[Ship Date]],FIND("0",F197)-1)</f>
        <v>3</v>
      </c>
      <c r="E197" s="2" t="str">
        <f>RIGHT(orders[[#This Row],[Ship Date]],4)</f>
        <v>2014</v>
      </c>
      <c r="F197" s="4" t="s">
        <v>2088</v>
      </c>
      <c r="G197" t="s">
        <v>44</v>
      </c>
      <c r="H197" t="s">
        <v>718</v>
      </c>
      <c r="I197" t="s">
        <v>719</v>
      </c>
      <c r="J197" t="s">
        <v>23</v>
      </c>
      <c r="K197" s="5" t="s">
        <v>1941</v>
      </c>
      <c r="L197" s="5" t="str">
        <f t="shared" si="3"/>
        <v>Hamilton</v>
      </c>
      <c r="M197" t="s">
        <v>455</v>
      </c>
      <c r="N197">
        <v>45011</v>
      </c>
      <c r="O197" t="s">
        <v>133</v>
      </c>
      <c r="P197" t="s">
        <v>720</v>
      </c>
      <c r="Q197" t="s">
        <v>40</v>
      </c>
      <c r="R197" t="s">
        <v>61</v>
      </c>
      <c r="S197" t="s">
        <v>721</v>
      </c>
      <c r="T197">
        <v>7.4080000000000004</v>
      </c>
      <c r="U197">
        <v>2</v>
      </c>
      <c r="V197">
        <v>0.2</v>
      </c>
      <c r="W197">
        <v>1.2037999999999995</v>
      </c>
    </row>
    <row r="198" spans="1:23" x14ac:dyDescent="0.3">
      <c r="A198">
        <v>197</v>
      </c>
      <c r="B198" t="s">
        <v>717</v>
      </c>
      <c r="C198" s="2">
        <v>41719</v>
      </c>
      <c r="D198" s="2" t="str">
        <f>LEFT(orders[[#This Row],[Ship Date]],FIND("0",F198)-1)</f>
        <v>3</v>
      </c>
      <c r="E198" s="2" t="str">
        <f>RIGHT(orders[[#This Row],[Ship Date]],4)</f>
        <v>2014</v>
      </c>
      <c r="F198" s="4" t="s">
        <v>2088</v>
      </c>
      <c r="G198" t="s">
        <v>44</v>
      </c>
      <c r="H198" t="s">
        <v>718</v>
      </c>
      <c r="I198" t="s">
        <v>719</v>
      </c>
      <c r="J198" t="s">
        <v>23</v>
      </c>
      <c r="K198" s="5" t="s">
        <v>1941</v>
      </c>
      <c r="L198" s="5" t="str">
        <f t="shared" si="3"/>
        <v>Hamilton</v>
      </c>
      <c r="M198" t="s">
        <v>455</v>
      </c>
      <c r="N198">
        <v>45011</v>
      </c>
      <c r="O198" t="s">
        <v>133</v>
      </c>
      <c r="P198" t="s">
        <v>722</v>
      </c>
      <c r="Q198" t="s">
        <v>40</v>
      </c>
      <c r="R198" t="s">
        <v>61</v>
      </c>
      <c r="S198" t="s">
        <v>723</v>
      </c>
      <c r="T198">
        <v>6.048</v>
      </c>
      <c r="U198">
        <v>3</v>
      </c>
      <c r="V198">
        <v>0.2</v>
      </c>
      <c r="W198">
        <v>1.5876000000000006</v>
      </c>
    </row>
    <row r="199" spans="1:23" x14ac:dyDescent="0.3">
      <c r="A199">
        <v>198</v>
      </c>
      <c r="B199" t="s">
        <v>724</v>
      </c>
      <c r="C199" s="2">
        <v>43045</v>
      </c>
      <c r="D199" s="2" t="str">
        <f>LEFT(orders[[#This Row],[Ship Date]],FIND("0",F199)-1)</f>
        <v>11</v>
      </c>
      <c r="E199" s="2" t="str">
        <f>RIGHT(orders[[#This Row],[Ship Date]],4)</f>
        <v>2017</v>
      </c>
      <c r="F199" s="4" t="s">
        <v>2089</v>
      </c>
      <c r="G199" t="s">
        <v>44</v>
      </c>
      <c r="H199" t="s">
        <v>725</v>
      </c>
      <c r="I199" t="s">
        <v>726</v>
      </c>
      <c r="J199" t="s">
        <v>93</v>
      </c>
      <c r="K199" s="5" t="s">
        <v>1942</v>
      </c>
      <c r="L199" s="5" t="str">
        <f t="shared" si="3"/>
        <v>Westfield</v>
      </c>
      <c r="M199" t="s">
        <v>727</v>
      </c>
      <c r="N199">
        <v>7090</v>
      </c>
      <c r="O199" t="s">
        <v>133</v>
      </c>
      <c r="P199" t="s">
        <v>728</v>
      </c>
      <c r="Q199" t="s">
        <v>40</v>
      </c>
      <c r="R199" t="s">
        <v>52</v>
      </c>
      <c r="S199" t="s">
        <v>729</v>
      </c>
      <c r="T199">
        <v>46.26</v>
      </c>
      <c r="U199">
        <v>3</v>
      </c>
      <c r="V199">
        <v>0</v>
      </c>
      <c r="W199">
        <v>12.0276</v>
      </c>
    </row>
    <row r="200" spans="1:23" x14ac:dyDescent="0.3">
      <c r="A200">
        <v>199</v>
      </c>
      <c r="B200" t="s">
        <v>730</v>
      </c>
      <c r="C200" s="2">
        <v>42922</v>
      </c>
      <c r="D200" s="2" t="str">
        <f>LEFT(orders[[#This Row],[Ship Date]],FIND("0",F200)-1)</f>
        <v>7</v>
      </c>
      <c r="E200" s="2" t="str">
        <f>RIGHT(orders[[#This Row],[Ship Date]],4)</f>
        <v>2017</v>
      </c>
      <c r="F200" s="4" t="s">
        <v>2090</v>
      </c>
      <c r="G200" t="s">
        <v>44</v>
      </c>
      <c r="H200" t="s">
        <v>731</v>
      </c>
      <c r="I200" t="s">
        <v>732</v>
      </c>
      <c r="J200" t="s">
        <v>36</v>
      </c>
      <c r="K200" s="5" t="s">
        <v>1894</v>
      </c>
      <c r="L200" s="5" t="str">
        <f t="shared" si="3"/>
        <v>Philadelphia</v>
      </c>
      <c r="M200" t="s">
        <v>132</v>
      </c>
      <c r="N200">
        <v>19120</v>
      </c>
      <c r="O200" t="s">
        <v>133</v>
      </c>
      <c r="P200" t="s">
        <v>733</v>
      </c>
      <c r="Q200" t="s">
        <v>40</v>
      </c>
      <c r="R200" t="s">
        <v>68</v>
      </c>
      <c r="S200" t="s">
        <v>734</v>
      </c>
      <c r="T200">
        <v>2.9460000000000006</v>
      </c>
      <c r="U200">
        <v>2</v>
      </c>
      <c r="V200">
        <v>0.7</v>
      </c>
      <c r="W200">
        <v>-2.2585999999999995</v>
      </c>
    </row>
    <row r="201" spans="1:23" x14ac:dyDescent="0.3">
      <c r="A201">
        <v>200</v>
      </c>
      <c r="B201" t="s">
        <v>730</v>
      </c>
      <c r="C201" s="2">
        <v>42922</v>
      </c>
      <c r="D201" s="2" t="str">
        <f>LEFT(orders[[#This Row],[Ship Date]],FIND("0",F201)-1)</f>
        <v>7</v>
      </c>
      <c r="E201" s="2" t="str">
        <f>RIGHT(orders[[#This Row],[Ship Date]],4)</f>
        <v>2017</v>
      </c>
      <c r="F201" s="4" t="s">
        <v>2090</v>
      </c>
      <c r="G201" t="s">
        <v>44</v>
      </c>
      <c r="H201" t="s">
        <v>731</v>
      </c>
      <c r="I201" t="s">
        <v>732</v>
      </c>
      <c r="J201" t="s">
        <v>36</v>
      </c>
      <c r="K201" s="5" t="s">
        <v>1894</v>
      </c>
      <c r="L201" s="5" t="str">
        <f t="shared" si="3"/>
        <v>Philadelphia</v>
      </c>
      <c r="M201" t="s">
        <v>132</v>
      </c>
      <c r="N201">
        <v>19120</v>
      </c>
      <c r="O201" t="s">
        <v>133</v>
      </c>
      <c r="P201" t="s">
        <v>735</v>
      </c>
      <c r="Q201" t="s">
        <v>40</v>
      </c>
      <c r="R201" t="s">
        <v>82</v>
      </c>
      <c r="S201" t="s">
        <v>736</v>
      </c>
      <c r="T201">
        <v>16.056000000000001</v>
      </c>
      <c r="U201">
        <v>3</v>
      </c>
      <c r="V201">
        <v>0.2</v>
      </c>
      <c r="W201">
        <v>5.8203000000000005</v>
      </c>
    </row>
    <row r="202" spans="1:23" x14ac:dyDescent="0.3">
      <c r="A202">
        <v>201</v>
      </c>
      <c r="B202" t="s">
        <v>737</v>
      </c>
      <c r="C202" s="2">
        <v>42910</v>
      </c>
      <c r="D202" s="2" t="str">
        <f>LEFT(orders[[#This Row],[Ship Date]],FIND("0",F202)-1)</f>
        <v>6</v>
      </c>
      <c r="E202" s="2" t="str">
        <f>RIGHT(orders[[#This Row],[Ship Date]],4)</f>
        <v>2017</v>
      </c>
      <c r="F202" s="4" t="s">
        <v>2091</v>
      </c>
      <c r="G202" t="s">
        <v>44</v>
      </c>
      <c r="H202" t="s">
        <v>738</v>
      </c>
      <c r="I202" t="s">
        <v>739</v>
      </c>
      <c r="J202" t="s">
        <v>23</v>
      </c>
      <c r="K202" s="5" t="s">
        <v>1943</v>
      </c>
      <c r="L202" s="5" t="str">
        <f t="shared" si="3"/>
        <v>Akron</v>
      </c>
      <c r="M202" t="s">
        <v>455</v>
      </c>
      <c r="N202">
        <v>44312</v>
      </c>
      <c r="O202" t="s">
        <v>133</v>
      </c>
      <c r="P202" t="s">
        <v>740</v>
      </c>
      <c r="Q202" t="s">
        <v>40</v>
      </c>
      <c r="R202" t="s">
        <v>82</v>
      </c>
      <c r="S202" t="s">
        <v>741</v>
      </c>
      <c r="T202">
        <v>21.744000000000003</v>
      </c>
      <c r="U202">
        <v>3</v>
      </c>
      <c r="V202">
        <v>0.2</v>
      </c>
      <c r="W202">
        <v>6.794999999999999</v>
      </c>
    </row>
    <row r="203" spans="1:23" x14ac:dyDescent="0.3">
      <c r="A203">
        <v>202</v>
      </c>
      <c r="B203" t="s">
        <v>742</v>
      </c>
      <c r="C203" s="2">
        <v>41854</v>
      </c>
      <c r="D203" s="2" t="str">
        <f>LEFT(orders[[#This Row],[Ship Date]],FIND("0",F203)-1)</f>
        <v>8</v>
      </c>
      <c r="E203" s="2" t="str">
        <f>RIGHT(orders[[#This Row],[Ship Date]],4)</f>
        <v>2014</v>
      </c>
      <c r="F203" s="4" t="s">
        <v>2092</v>
      </c>
      <c r="G203" t="s">
        <v>171</v>
      </c>
      <c r="H203" t="s">
        <v>743</v>
      </c>
      <c r="I203" t="s">
        <v>744</v>
      </c>
      <c r="J203" t="s">
        <v>23</v>
      </c>
      <c r="K203" s="5" t="s">
        <v>1944</v>
      </c>
      <c r="L203" s="5" t="str">
        <f t="shared" si="3"/>
        <v>Denver</v>
      </c>
      <c r="M203" t="s">
        <v>418</v>
      </c>
      <c r="N203">
        <v>80219</v>
      </c>
      <c r="O203" t="s">
        <v>38</v>
      </c>
      <c r="P203" t="s">
        <v>745</v>
      </c>
      <c r="Q203" t="s">
        <v>27</v>
      </c>
      <c r="R203" t="s">
        <v>49</v>
      </c>
      <c r="S203" t="s">
        <v>746</v>
      </c>
      <c r="T203">
        <v>218.75</v>
      </c>
      <c r="U203">
        <v>2</v>
      </c>
      <c r="V203">
        <v>0.5</v>
      </c>
      <c r="W203">
        <v>-161.875</v>
      </c>
    </row>
    <row r="204" spans="1:23" x14ac:dyDescent="0.3">
      <c r="A204">
        <v>203</v>
      </c>
      <c r="B204" t="s">
        <v>742</v>
      </c>
      <c r="C204" s="2">
        <v>41854</v>
      </c>
      <c r="D204" s="2" t="str">
        <f>LEFT(orders[[#This Row],[Ship Date]],FIND("0",F204)-1)</f>
        <v>8</v>
      </c>
      <c r="E204" s="2" t="str">
        <f>RIGHT(orders[[#This Row],[Ship Date]],4)</f>
        <v>2014</v>
      </c>
      <c r="F204" s="4" t="s">
        <v>2092</v>
      </c>
      <c r="G204" t="s">
        <v>171</v>
      </c>
      <c r="H204" t="s">
        <v>743</v>
      </c>
      <c r="I204" t="s">
        <v>744</v>
      </c>
      <c r="J204" t="s">
        <v>23</v>
      </c>
      <c r="K204" s="5" t="s">
        <v>1944</v>
      </c>
      <c r="L204" s="5" t="str">
        <f t="shared" si="3"/>
        <v>Denver</v>
      </c>
      <c r="M204" t="s">
        <v>418</v>
      </c>
      <c r="N204">
        <v>80219</v>
      </c>
      <c r="O204" t="s">
        <v>38</v>
      </c>
      <c r="P204" t="s">
        <v>747</v>
      </c>
      <c r="Q204" t="s">
        <v>40</v>
      </c>
      <c r="R204" t="s">
        <v>71</v>
      </c>
      <c r="S204" t="s">
        <v>748</v>
      </c>
      <c r="T204">
        <v>2.6</v>
      </c>
      <c r="U204">
        <v>1</v>
      </c>
      <c r="V204">
        <v>0.2</v>
      </c>
      <c r="W204">
        <v>0.29249999999999987</v>
      </c>
    </row>
    <row r="205" spans="1:23" x14ac:dyDescent="0.3">
      <c r="A205">
        <v>204</v>
      </c>
      <c r="B205" t="s">
        <v>749</v>
      </c>
      <c r="C205" s="2">
        <v>43086</v>
      </c>
      <c r="D205" s="2" t="str">
        <f>LEFT(orders[[#This Row],[Ship Date]],FIND("0",F205)-1)</f>
        <v>12</v>
      </c>
      <c r="E205" s="2" t="str">
        <f>RIGHT(orders[[#This Row],[Ship Date]],4)</f>
        <v>2017</v>
      </c>
      <c r="F205" s="4" t="s">
        <v>2093</v>
      </c>
      <c r="G205" t="s">
        <v>20</v>
      </c>
      <c r="H205" t="s">
        <v>750</v>
      </c>
      <c r="I205" t="s">
        <v>751</v>
      </c>
      <c r="J205" t="s">
        <v>23</v>
      </c>
      <c r="K205" s="5" t="s">
        <v>1945</v>
      </c>
      <c r="L205" s="5" t="str">
        <f t="shared" si="3"/>
        <v>Dallas</v>
      </c>
      <c r="M205" t="s">
        <v>94</v>
      </c>
      <c r="N205">
        <v>75220</v>
      </c>
      <c r="O205" t="s">
        <v>95</v>
      </c>
      <c r="P205" t="s">
        <v>752</v>
      </c>
      <c r="Q205" t="s">
        <v>40</v>
      </c>
      <c r="R205" t="s">
        <v>71</v>
      </c>
      <c r="S205" t="s">
        <v>753</v>
      </c>
      <c r="T205">
        <v>66.283999999999992</v>
      </c>
      <c r="U205">
        <v>2</v>
      </c>
      <c r="V205">
        <v>0.8</v>
      </c>
      <c r="W205">
        <v>-178.96680000000001</v>
      </c>
    </row>
    <row r="206" spans="1:23" x14ac:dyDescent="0.3">
      <c r="A206">
        <v>205</v>
      </c>
      <c r="B206" t="s">
        <v>754</v>
      </c>
      <c r="C206" s="2">
        <v>42889</v>
      </c>
      <c r="D206" s="2" t="str">
        <f>LEFT(orders[[#This Row],[Ship Date]],FIND("0",F206)-1)</f>
        <v>6</v>
      </c>
      <c r="E206" s="2" t="str">
        <f>RIGHT(orders[[#This Row],[Ship Date]],4)</f>
        <v>2017</v>
      </c>
      <c r="F206" s="4" t="s">
        <v>2094</v>
      </c>
      <c r="G206" t="s">
        <v>44</v>
      </c>
      <c r="H206" t="s">
        <v>755</v>
      </c>
      <c r="I206" t="s">
        <v>756</v>
      </c>
      <c r="J206" t="s">
        <v>36</v>
      </c>
      <c r="K206" s="5" t="s">
        <v>1931</v>
      </c>
      <c r="L206" s="5" t="str">
        <f t="shared" si="3"/>
        <v>Franklin</v>
      </c>
      <c r="M206" t="s">
        <v>304</v>
      </c>
      <c r="N206">
        <v>37064</v>
      </c>
      <c r="O206" t="s">
        <v>25</v>
      </c>
      <c r="P206" t="s">
        <v>757</v>
      </c>
      <c r="Q206" t="s">
        <v>27</v>
      </c>
      <c r="R206" t="s">
        <v>58</v>
      </c>
      <c r="S206" t="s">
        <v>758</v>
      </c>
      <c r="T206">
        <v>35.168000000000006</v>
      </c>
      <c r="U206">
        <v>7</v>
      </c>
      <c r="V206">
        <v>0.2</v>
      </c>
      <c r="W206">
        <v>9.6712000000000025</v>
      </c>
    </row>
    <row r="207" spans="1:23" x14ac:dyDescent="0.3">
      <c r="A207">
        <v>206</v>
      </c>
      <c r="B207" t="s">
        <v>759</v>
      </c>
      <c r="C207" s="2">
        <v>43078</v>
      </c>
      <c r="D207" s="2" t="str">
        <f>LEFT(orders[[#This Row],[Ship Date]],FIND("0",F207)-1)</f>
        <v>12</v>
      </c>
      <c r="E207" s="2" t="str">
        <f>RIGHT(orders[[#This Row],[Ship Date]],4)</f>
        <v>2017</v>
      </c>
      <c r="F207" s="4" t="s">
        <v>2095</v>
      </c>
      <c r="G207" t="s">
        <v>44</v>
      </c>
      <c r="H207" t="s">
        <v>760</v>
      </c>
      <c r="I207" t="s">
        <v>761</v>
      </c>
      <c r="J207" t="s">
        <v>23</v>
      </c>
      <c r="K207" s="5" t="s">
        <v>1946</v>
      </c>
      <c r="L207" s="5" t="str">
        <f t="shared" si="3"/>
        <v>Whittier</v>
      </c>
      <c r="M207" t="s">
        <v>37</v>
      </c>
      <c r="N207">
        <v>90604</v>
      </c>
      <c r="O207" t="s">
        <v>38</v>
      </c>
      <c r="P207" t="s">
        <v>762</v>
      </c>
      <c r="Q207" t="s">
        <v>64</v>
      </c>
      <c r="R207" t="s">
        <v>65</v>
      </c>
      <c r="S207" t="s">
        <v>763</v>
      </c>
      <c r="T207">
        <v>444.76800000000003</v>
      </c>
      <c r="U207">
        <v>4</v>
      </c>
      <c r="V207">
        <v>0.2</v>
      </c>
      <c r="W207">
        <v>44.476800000000026</v>
      </c>
    </row>
    <row r="208" spans="1:23" x14ac:dyDescent="0.3">
      <c r="A208">
        <v>207</v>
      </c>
      <c r="B208" t="s">
        <v>764</v>
      </c>
      <c r="C208" s="2">
        <v>43070</v>
      </c>
      <c r="D208" s="2" t="str">
        <f>LEFT(orders[[#This Row],[Ship Date]],FIND("0",F208)-1)</f>
        <v>12</v>
      </c>
      <c r="E208" s="2" t="str">
        <f>RIGHT(orders[[#This Row],[Ship Date]],4)</f>
        <v>2017</v>
      </c>
      <c r="F208" s="4" t="s">
        <v>2096</v>
      </c>
      <c r="G208" t="s">
        <v>44</v>
      </c>
      <c r="H208" t="s">
        <v>765</v>
      </c>
      <c r="I208" t="s">
        <v>766</v>
      </c>
      <c r="J208" t="s">
        <v>23</v>
      </c>
      <c r="K208" s="5" t="s">
        <v>1947</v>
      </c>
      <c r="L208" s="5" t="str">
        <f t="shared" si="3"/>
        <v>Saginaw</v>
      </c>
      <c r="M208" t="s">
        <v>216</v>
      </c>
      <c r="N208">
        <v>48601</v>
      </c>
      <c r="O208" t="s">
        <v>95</v>
      </c>
      <c r="P208" t="s">
        <v>767</v>
      </c>
      <c r="Q208" t="s">
        <v>40</v>
      </c>
      <c r="R208" t="s">
        <v>52</v>
      </c>
      <c r="S208" t="s">
        <v>768</v>
      </c>
      <c r="T208">
        <v>83.92</v>
      </c>
      <c r="U208">
        <v>4</v>
      </c>
      <c r="V208">
        <v>0</v>
      </c>
      <c r="W208">
        <v>5.8743999999999943</v>
      </c>
    </row>
    <row r="209" spans="1:23" x14ac:dyDescent="0.3">
      <c r="A209">
        <v>208</v>
      </c>
      <c r="B209" t="s">
        <v>764</v>
      </c>
      <c r="C209" s="2">
        <v>43070</v>
      </c>
      <c r="D209" s="2" t="str">
        <f>LEFT(orders[[#This Row],[Ship Date]],FIND("0",F209)-1)</f>
        <v>12</v>
      </c>
      <c r="E209" s="2" t="str">
        <f>RIGHT(orders[[#This Row],[Ship Date]],4)</f>
        <v>2017</v>
      </c>
      <c r="F209" s="4" t="s">
        <v>2096</v>
      </c>
      <c r="G209" t="s">
        <v>44</v>
      </c>
      <c r="H209" t="s">
        <v>765</v>
      </c>
      <c r="I209" t="s">
        <v>766</v>
      </c>
      <c r="J209" t="s">
        <v>23</v>
      </c>
      <c r="K209" s="5" t="s">
        <v>1947</v>
      </c>
      <c r="L209" s="5" t="str">
        <f t="shared" si="3"/>
        <v>Saginaw</v>
      </c>
      <c r="M209" t="s">
        <v>216</v>
      </c>
      <c r="N209">
        <v>48601</v>
      </c>
      <c r="O209" t="s">
        <v>95</v>
      </c>
      <c r="P209" t="s">
        <v>769</v>
      </c>
      <c r="Q209" t="s">
        <v>64</v>
      </c>
      <c r="R209" t="s">
        <v>65</v>
      </c>
      <c r="S209" t="s">
        <v>770</v>
      </c>
      <c r="T209">
        <v>131.97999999999999</v>
      </c>
      <c r="U209">
        <v>2</v>
      </c>
      <c r="V209">
        <v>0</v>
      </c>
      <c r="W209">
        <v>35.634600000000006</v>
      </c>
    </row>
    <row r="210" spans="1:23" x14ac:dyDescent="0.3">
      <c r="A210">
        <v>209</v>
      </c>
      <c r="B210" t="s">
        <v>764</v>
      </c>
      <c r="C210" s="2">
        <v>43070</v>
      </c>
      <c r="D210" s="2" t="str">
        <f>LEFT(orders[[#This Row],[Ship Date]],FIND("0",F210)-1)</f>
        <v>12</v>
      </c>
      <c r="E210" s="2" t="str">
        <f>RIGHT(orders[[#This Row],[Ship Date]],4)</f>
        <v>2017</v>
      </c>
      <c r="F210" s="4" t="s">
        <v>2096</v>
      </c>
      <c r="G210" t="s">
        <v>44</v>
      </c>
      <c r="H210" t="s">
        <v>765</v>
      </c>
      <c r="I210" t="s">
        <v>766</v>
      </c>
      <c r="J210" t="s">
        <v>23</v>
      </c>
      <c r="K210" s="5" t="s">
        <v>1947</v>
      </c>
      <c r="L210" s="5" t="str">
        <f t="shared" si="3"/>
        <v>Saginaw</v>
      </c>
      <c r="M210" t="s">
        <v>216</v>
      </c>
      <c r="N210">
        <v>48601</v>
      </c>
      <c r="O210" t="s">
        <v>95</v>
      </c>
      <c r="P210" t="s">
        <v>498</v>
      </c>
      <c r="Q210" t="s">
        <v>40</v>
      </c>
      <c r="R210" t="s">
        <v>68</v>
      </c>
      <c r="S210" t="s">
        <v>499</v>
      </c>
      <c r="T210">
        <v>15.92</v>
      </c>
      <c r="U210">
        <v>4</v>
      </c>
      <c r="V210">
        <v>0</v>
      </c>
      <c r="W210">
        <v>7.4824000000000002</v>
      </c>
    </row>
    <row r="211" spans="1:23" x14ac:dyDescent="0.3">
      <c r="A211">
        <v>210</v>
      </c>
      <c r="B211" t="s">
        <v>764</v>
      </c>
      <c r="C211" s="2">
        <v>43070</v>
      </c>
      <c r="D211" s="2" t="str">
        <f>LEFT(orders[[#This Row],[Ship Date]],FIND("0",F211)-1)</f>
        <v>12</v>
      </c>
      <c r="E211" s="2" t="str">
        <f>RIGHT(orders[[#This Row],[Ship Date]],4)</f>
        <v>2017</v>
      </c>
      <c r="F211" s="4" t="s">
        <v>2096</v>
      </c>
      <c r="G211" t="s">
        <v>44</v>
      </c>
      <c r="H211" t="s">
        <v>765</v>
      </c>
      <c r="I211" t="s">
        <v>766</v>
      </c>
      <c r="J211" t="s">
        <v>23</v>
      </c>
      <c r="K211" s="5" t="s">
        <v>1947</v>
      </c>
      <c r="L211" s="5" t="str">
        <f t="shared" si="3"/>
        <v>Saginaw</v>
      </c>
      <c r="M211" t="s">
        <v>216</v>
      </c>
      <c r="N211">
        <v>48601</v>
      </c>
      <c r="O211" t="s">
        <v>95</v>
      </c>
      <c r="P211" t="s">
        <v>771</v>
      </c>
      <c r="Q211" t="s">
        <v>40</v>
      </c>
      <c r="R211" t="s">
        <v>244</v>
      </c>
      <c r="S211" t="s">
        <v>772</v>
      </c>
      <c r="T211">
        <v>52.29</v>
      </c>
      <c r="U211">
        <v>9</v>
      </c>
      <c r="V211">
        <v>0</v>
      </c>
      <c r="W211">
        <v>16.209899999999998</v>
      </c>
    </row>
    <row r="212" spans="1:23" x14ac:dyDescent="0.3">
      <c r="A212">
        <v>211</v>
      </c>
      <c r="B212" t="s">
        <v>764</v>
      </c>
      <c r="C212" s="2">
        <v>43070</v>
      </c>
      <c r="D212" s="2" t="str">
        <f>LEFT(orders[[#This Row],[Ship Date]],FIND("0",F212)-1)</f>
        <v>12</v>
      </c>
      <c r="E212" s="2" t="str">
        <f>RIGHT(orders[[#This Row],[Ship Date]],4)</f>
        <v>2017</v>
      </c>
      <c r="F212" s="4" t="s">
        <v>2096</v>
      </c>
      <c r="G212" t="s">
        <v>44</v>
      </c>
      <c r="H212" t="s">
        <v>765</v>
      </c>
      <c r="I212" t="s">
        <v>766</v>
      </c>
      <c r="J212" t="s">
        <v>23</v>
      </c>
      <c r="K212" s="5" t="s">
        <v>1947</v>
      </c>
      <c r="L212" s="5" t="str">
        <f t="shared" si="3"/>
        <v>Saginaw</v>
      </c>
      <c r="M212" t="s">
        <v>216</v>
      </c>
      <c r="N212">
        <v>48601</v>
      </c>
      <c r="O212" t="s">
        <v>95</v>
      </c>
      <c r="P212" t="s">
        <v>773</v>
      </c>
      <c r="Q212" t="s">
        <v>40</v>
      </c>
      <c r="R212" t="s">
        <v>52</v>
      </c>
      <c r="S212" t="s">
        <v>774</v>
      </c>
      <c r="T212">
        <v>91.99</v>
      </c>
      <c r="U212">
        <v>1</v>
      </c>
      <c r="V212">
        <v>0</v>
      </c>
      <c r="W212">
        <v>3.6795999999999935</v>
      </c>
    </row>
    <row r="213" spans="1:23" x14ac:dyDescent="0.3">
      <c r="A213">
        <v>212</v>
      </c>
      <c r="B213" t="s">
        <v>775</v>
      </c>
      <c r="C213" s="2">
        <v>42044</v>
      </c>
      <c r="D213" s="2" t="str">
        <f>LEFT(orders[[#This Row],[Ship Date]],FIND("0",F213)-1)</f>
        <v>2</v>
      </c>
      <c r="E213" s="2" t="str">
        <f>RIGHT(orders[[#This Row],[Ship Date]],4)</f>
        <v>2015</v>
      </c>
      <c r="F213" s="4" t="s">
        <v>2097</v>
      </c>
      <c r="G213" t="s">
        <v>20</v>
      </c>
      <c r="H213" t="s">
        <v>776</v>
      </c>
      <c r="I213" t="s">
        <v>777</v>
      </c>
      <c r="J213" t="s">
        <v>36</v>
      </c>
      <c r="K213" s="5" t="s">
        <v>1945</v>
      </c>
      <c r="L213" s="5" t="str">
        <f t="shared" si="3"/>
        <v>Dallas</v>
      </c>
      <c r="M213" t="s">
        <v>94</v>
      </c>
      <c r="N213">
        <v>75220</v>
      </c>
      <c r="O213" t="s">
        <v>95</v>
      </c>
      <c r="P213" t="s">
        <v>778</v>
      </c>
      <c r="Q213" t="s">
        <v>64</v>
      </c>
      <c r="R213" t="s">
        <v>145</v>
      </c>
      <c r="S213" t="s">
        <v>779</v>
      </c>
      <c r="T213">
        <v>20.8</v>
      </c>
      <c r="U213">
        <v>2</v>
      </c>
      <c r="V213">
        <v>0.2</v>
      </c>
      <c r="W213">
        <v>6.4999999999999991</v>
      </c>
    </row>
    <row r="214" spans="1:23" x14ac:dyDescent="0.3">
      <c r="A214">
        <v>213</v>
      </c>
      <c r="B214" t="s">
        <v>780</v>
      </c>
      <c r="C214" s="2">
        <v>42006</v>
      </c>
      <c r="D214" s="2" t="str">
        <f>LEFT(orders[[#This Row],[Ship Date]],FIND("0",F214)-1)</f>
        <v>1</v>
      </c>
      <c r="E214" s="2" t="str">
        <f>RIGHT(orders[[#This Row],[Ship Date]],4)</f>
        <v>2015</v>
      </c>
      <c r="F214" s="4" t="s">
        <v>2098</v>
      </c>
      <c r="G214" t="s">
        <v>44</v>
      </c>
      <c r="H214" t="s">
        <v>781</v>
      </c>
      <c r="I214" t="s">
        <v>782</v>
      </c>
      <c r="J214" t="s">
        <v>36</v>
      </c>
      <c r="K214" s="5" t="s">
        <v>1948</v>
      </c>
      <c r="L214" s="5" t="str">
        <f t="shared" si="3"/>
        <v>Medina</v>
      </c>
      <c r="M214" t="s">
        <v>455</v>
      </c>
      <c r="N214">
        <v>44256</v>
      </c>
      <c r="O214" t="s">
        <v>133</v>
      </c>
      <c r="P214" t="s">
        <v>783</v>
      </c>
      <c r="Q214" t="s">
        <v>40</v>
      </c>
      <c r="R214" t="s">
        <v>41</v>
      </c>
      <c r="S214" t="s">
        <v>784</v>
      </c>
      <c r="T214">
        <v>23.680000000000003</v>
      </c>
      <c r="U214">
        <v>2</v>
      </c>
      <c r="V214">
        <v>0.2</v>
      </c>
      <c r="W214">
        <v>8.879999999999999</v>
      </c>
    </row>
    <row r="215" spans="1:23" x14ac:dyDescent="0.3">
      <c r="A215">
        <v>214</v>
      </c>
      <c r="B215" t="s">
        <v>780</v>
      </c>
      <c r="C215" s="2">
        <v>42006</v>
      </c>
      <c r="D215" s="2" t="str">
        <f>LEFT(orders[[#This Row],[Ship Date]],FIND("0",F215)-1)</f>
        <v>1</v>
      </c>
      <c r="E215" s="2" t="str">
        <f>RIGHT(orders[[#This Row],[Ship Date]],4)</f>
        <v>2015</v>
      </c>
      <c r="F215" s="4" t="s">
        <v>2098</v>
      </c>
      <c r="G215" t="s">
        <v>44</v>
      </c>
      <c r="H215" t="s">
        <v>781</v>
      </c>
      <c r="I215" t="s">
        <v>782</v>
      </c>
      <c r="J215" t="s">
        <v>36</v>
      </c>
      <c r="K215" s="5" t="s">
        <v>1948</v>
      </c>
      <c r="L215" s="5" t="str">
        <f t="shared" si="3"/>
        <v>Medina</v>
      </c>
      <c r="M215" t="s">
        <v>455</v>
      </c>
      <c r="N215">
        <v>44256</v>
      </c>
      <c r="O215" t="s">
        <v>133</v>
      </c>
      <c r="P215" t="s">
        <v>785</v>
      </c>
      <c r="Q215" t="s">
        <v>27</v>
      </c>
      <c r="R215" t="s">
        <v>28</v>
      </c>
      <c r="S215" t="s">
        <v>786</v>
      </c>
      <c r="T215">
        <v>452.45</v>
      </c>
      <c r="U215">
        <v>5</v>
      </c>
      <c r="V215">
        <v>0.5</v>
      </c>
      <c r="W215">
        <v>-244.32300000000006</v>
      </c>
    </row>
    <row r="216" spans="1:23" x14ac:dyDescent="0.3">
      <c r="A216">
        <v>215</v>
      </c>
      <c r="B216" t="s">
        <v>780</v>
      </c>
      <c r="C216" s="2">
        <v>42006</v>
      </c>
      <c r="D216" s="2" t="str">
        <f>LEFT(orders[[#This Row],[Ship Date]],FIND("0",F216)-1)</f>
        <v>1</v>
      </c>
      <c r="E216" s="2" t="str">
        <f>RIGHT(orders[[#This Row],[Ship Date]],4)</f>
        <v>2015</v>
      </c>
      <c r="F216" s="4" t="s">
        <v>2098</v>
      </c>
      <c r="G216" t="s">
        <v>44</v>
      </c>
      <c r="H216" t="s">
        <v>781</v>
      </c>
      <c r="I216" t="s">
        <v>782</v>
      </c>
      <c r="J216" t="s">
        <v>36</v>
      </c>
      <c r="K216" s="5" t="s">
        <v>1948</v>
      </c>
      <c r="L216" s="5" t="str">
        <f t="shared" si="3"/>
        <v>Medina</v>
      </c>
      <c r="M216" t="s">
        <v>455</v>
      </c>
      <c r="N216">
        <v>44256</v>
      </c>
      <c r="O216" t="s">
        <v>133</v>
      </c>
      <c r="P216" t="s">
        <v>430</v>
      </c>
      <c r="Q216" t="s">
        <v>64</v>
      </c>
      <c r="R216" t="s">
        <v>65</v>
      </c>
      <c r="S216" t="s">
        <v>431</v>
      </c>
      <c r="T216">
        <v>62.981999999999999</v>
      </c>
      <c r="U216">
        <v>3</v>
      </c>
      <c r="V216">
        <v>0.4</v>
      </c>
      <c r="W216">
        <v>-14.695800000000006</v>
      </c>
    </row>
    <row r="217" spans="1:23" x14ac:dyDescent="0.3">
      <c r="A217">
        <v>216</v>
      </c>
      <c r="B217" t="s">
        <v>780</v>
      </c>
      <c r="C217" s="2">
        <v>42006</v>
      </c>
      <c r="D217" s="2" t="str">
        <f>LEFT(orders[[#This Row],[Ship Date]],FIND("0",F217)-1)</f>
        <v>1</v>
      </c>
      <c r="E217" s="2" t="str">
        <f>RIGHT(orders[[#This Row],[Ship Date]],4)</f>
        <v>2015</v>
      </c>
      <c r="F217" s="4" t="s">
        <v>2098</v>
      </c>
      <c r="G217" t="s">
        <v>44</v>
      </c>
      <c r="H217" t="s">
        <v>781</v>
      </c>
      <c r="I217" t="s">
        <v>782</v>
      </c>
      <c r="J217" t="s">
        <v>36</v>
      </c>
      <c r="K217" s="5" t="s">
        <v>1948</v>
      </c>
      <c r="L217" s="5" t="str">
        <f t="shared" si="3"/>
        <v>Medina</v>
      </c>
      <c r="M217" t="s">
        <v>455</v>
      </c>
      <c r="N217">
        <v>44256</v>
      </c>
      <c r="O217" t="s">
        <v>133</v>
      </c>
      <c r="P217" t="s">
        <v>787</v>
      </c>
      <c r="Q217" t="s">
        <v>64</v>
      </c>
      <c r="R217" t="s">
        <v>627</v>
      </c>
      <c r="S217" t="s">
        <v>788</v>
      </c>
      <c r="T217">
        <v>1188.0000000000002</v>
      </c>
      <c r="U217">
        <v>9</v>
      </c>
      <c r="V217">
        <v>0.7</v>
      </c>
      <c r="W217">
        <v>-950.40000000000009</v>
      </c>
    </row>
    <row r="218" spans="1:23" x14ac:dyDescent="0.3">
      <c r="A218">
        <v>217</v>
      </c>
      <c r="B218" t="s">
        <v>780</v>
      </c>
      <c r="C218" s="2">
        <v>42006</v>
      </c>
      <c r="D218" s="2" t="str">
        <f>LEFT(orders[[#This Row],[Ship Date]],FIND("0",F218)-1)</f>
        <v>1</v>
      </c>
      <c r="E218" s="2" t="str">
        <f>RIGHT(orders[[#This Row],[Ship Date]],4)</f>
        <v>2015</v>
      </c>
      <c r="F218" s="4" t="s">
        <v>2098</v>
      </c>
      <c r="G218" t="s">
        <v>44</v>
      </c>
      <c r="H218" t="s">
        <v>781</v>
      </c>
      <c r="I218" t="s">
        <v>782</v>
      </c>
      <c r="J218" t="s">
        <v>36</v>
      </c>
      <c r="K218" s="5" t="s">
        <v>1948</v>
      </c>
      <c r="L218" s="5" t="str">
        <f t="shared" si="3"/>
        <v>Medina</v>
      </c>
      <c r="M218" t="s">
        <v>455</v>
      </c>
      <c r="N218">
        <v>44256</v>
      </c>
      <c r="O218" t="s">
        <v>133</v>
      </c>
      <c r="P218" t="s">
        <v>789</v>
      </c>
      <c r="Q218" t="s">
        <v>64</v>
      </c>
      <c r="R218" t="s">
        <v>145</v>
      </c>
      <c r="S218" t="s">
        <v>790</v>
      </c>
      <c r="T218">
        <v>89.584000000000003</v>
      </c>
      <c r="U218">
        <v>2</v>
      </c>
      <c r="V218">
        <v>0.2</v>
      </c>
      <c r="W218">
        <v>4.4792000000000058</v>
      </c>
    </row>
    <row r="219" spans="1:23" x14ac:dyDescent="0.3">
      <c r="A219">
        <v>218</v>
      </c>
      <c r="B219" t="s">
        <v>791</v>
      </c>
      <c r="C219" s="2">
        <v>42671</v>
      </c>
      <c r="D219" s="2" t="str">
        <f>LEFT(orders[[#This Row],[Ship Date]],FIND("0",F219)-1)</f>
        <v>11</v>
      </c>
      <c r="E219" s="2" t="str">
        <f>RIGHT(orders[[#This Row],[Ship Date]],4)</f>
        <v>2016</v>
      </c>
      <c r="F219" s="4" t="s">
        <v>2099</v>
      </c>
      <c r="G219" t="s">
        <v>44</v>
      </c>
      <c r="H219" t="s">
        <v>792</v>
      </c>
      <c r="I219" t="s">
        <v>793</v>
      </c>
      <c r="J219" t="s">
        <v>23</v>
      </c>
      <c r="K219" s="5" t="s">
        <v>1885</v>
      </c>
      <c r="L219" s="5" t="str">
        <f t="shared" si="3"/>
        <v>Los Angeles</v>
      </c>
      <c r="M219" t="s">
        <v>37</v>
      </c>
      <c r="N219">
        <v>90032</v>
      </c>
      <c r="O219" t="s">
        <v>38</v>
      </c>
      <c r="P219" t="s">
        <v>701</v>
      </c>
      <c r="Q219" t="s">
        <v>40</v>
      </c>
      <c r="R219" t="s">
        <v>52</v>
      </c>
      <c r="S219" t="s">
        <v>702</v>
      </c>
      <c r="T219">
        <v>93.06</v>
      </c>
      <c r="U219">
        <v>6</v>
      </c>
      <c r="V219">
        <v>0</v>
      </c>
      <c r="W219">
        <v>26.056800000000003</v>
      </c>
    </row>
    <row r="220" spans="1:23" x14ac:dyDescent="0.3">
      <c r="A220">
        <v>219</v>
      </c>
      <c r="B220" t="s">
        <v>791</v>
      </c>
      <c r="C220" s="2">
        <v>42671</v>
      </c>
      <c r="D220" s="2" t="str">
        <f>LEFT(orders[[#This Row],[Ship Date]],FIND("0",F220)-1)</f>
        <v>11</v>
      </c>
      <c r="E220" s="2" t="str">
        <f>RIGHT(orders[[#This Row],[Ship Date]],4)</f>
        <v>2016</v>
      </c>
      <c r="F220" s="4" t="s">
        <v>2099</v>
      </c>
      <c r="G220" t="s">
        <v>44</v>
      </c>
      <c r="H220" t="s">
        <v>792</v>
      </c>
      <c r="I220" t="s">
        <v>793</v>
      </c>
      <c r="J220" t="s">
        <v>23</v>
      </c>
      <c r="K220" s="5" t="s">
        <v>1885</v>
      </c>
      <c r="L220" s="5" t="str">
        <f t="shared" si="3"/>
        <v>Los Angeles</v>
      </c>
      <c r="M220" t="s">
        <v>37</v>
      </c>
      <c r="N220">
        <v>90032</v>
      </c>
      <c r="O220" t="s">
        <v>38</v>
      </c>
      <c r="P220" t="s">
        <v>794</v>
      </c>
      <c r="Q220" t="s">
        <v>64</v>
      </c>
      <c r="R220" t="s">
        <v>65</v>
      </c>
      <c r="S220" t="s">
        <v>795</v>
      </c>
      <c r="T220">
        <v>302.37599999999998</v>
      </c>
      <c r="U220">
        <v>3</v>
      </c>
      <c r="V220">
        <v>0.2</v>
      </c>
      <c r="W220">
        <v>22.678200000000018</v>
      </c>
    </row>
    <row r="221" spans="1:23" x14ac:dyDescent="0.3">
      <c r="A221">
        <v>220</v>
      </c>
      <c r="B221" t="s">
        <v>796</v>
      </c>
      <c r="C221" s="2">
        <v>42362</v>
      </c>
      <c r="D221" s="2" t="str">
        <f>LEFT(orders[[#This Row],[Ship Date]],FIND("0",F221)-1)</f>
        <v>12</v>
      </c>
      <c r="E221" s="2" t="str">
        <f>RIGHT(orders[[#This Row],[Ship Date]],4)</f>
        <v>2015</v>
      </c>
      <c r="F221" s="4" t="s">
        <v>2100</v>
      </c>
      <c r="G221" t="s">
        <v>171</v>
      </c>
      <c r="H221" t="s">
        <v>797</v>
      </c>
      <c r="I221" t="s">
        <v>798</v>
      </c>
      <c r="J221" t="s">
        <v>23</v>
      </c>
      <c r="K221" s="5" t="s">
        <v>1949</v>
      </c>
      <c r="L221" s="5" t="str">
        <f t="shared" si="3"/>
        <v>Dublin</v>
      </c>
      <c r="M221" t="s">
        <v>455</v>
      </c>
      <c r="N221">
        <v>43017</v>
      </c>
      <c r="O221" t="s">
        <v>133</v>
      </c>
      <c r="P221" t="s">
        <v>799</v>
      </c>
      <c r="Q221" t="s">
        <v>40</v>
      </c>
      <c r="R221" t="s">
        <v>244</v>
      </c>
      <c r="S221" t="s">
        <v>800</v>
      </c>
      <c r="T221">
        <v>5.5840000000000005</v>
      </c>
      <c r="U221">
        <v>2</v>
      </c>
      <c r="V221">
        <v>0.2</v>
      </c>
      <c r="W221">
        <v>1.8147999999999997</v>
      </c>
    </row>
    <row r="222" spans="1:23" x14ac:dyDescent="0.3">
      <c r="A222">
        <v>221</v>
      </c>
      <c r="B222" t="s">
        <v>796</v>
      </c>
      <c r="C222" s="2">
        <v>42362</v>
      </c>
      <c r="D222" s="2" t="str">
        <f>LEFT(orders[[#This Row],[Ship Date]],FIND("0",F222)-1)</f>
        <v>12</v>
      </c>
      <c r="E222" s="2" t="str">
        <f>RIGHT(orders[[#This Row],[Ship Date]],4)</f>
        <v>2015</v>
      </c>
      <c r="F222" s="4" t="s">
        <v>2100</v>
      </c>
      <c r="G222" t="s">
        <v>171</v>
      </c>
      <c r="H222" t="s">
        <v>797</v>
      </c>
      <c r="I222" t="s">
        <v>798</v>
      </c>
      <c r="J222" t="s">
        <v>23</v>
      </c>
      <c r="K222" s="5" t="s">
        <v>1949</v>
      </c>
      <c r="L222" s="5" t="str">
        <f t="shared" si="3"/>
        <v>Dublin</v>
      </c>
      <c r="M222" t="s">
        <v>455</v>
      </c>
      <c r="N222">
        <v>43017</v>
      </c>
      <c r="O222" t="s">
        <v>133</v>
      </c>
      <c r="P222" t="s">
        <v>801</v>
      </c>
      <c r="Q222" t="s">
        <v>40</v>
      </c>
      <c r="R222" t="s">
        <v>82</v>
      </c>
      <c r="S222" t="s">
        <v>802</v>
      </c>
      <c r="T222">
        <v>22.704000000000004</v>
      </c>
      <c r="U222">
        <v>6</v>
      </c>
      <c r="V222">
        <v>0.2</v>
      </c>
      <c r="W222">
        <v>8.2302</v>
      </c>
    </row>
    <row r="223" spans="1:23" x14ac:dyDescent="0.3">
      <c r="A223">
        <v>222</v>
      </c>
      <c r="B223" t="s">
        <v>796</v>
      </c>
      <c r="C223" s="2">
        <v>42362</v>
      </c>
      <c r="D223" s="2" t="str">
        <f>LEFT(orders[[#This Row],[Ship Date]],FIND("0",F223)-1)</f>
        <v>12</v>
      </c>
      <c r="E223" s="2" t="str">
        <f>RIGHT(orders[[#This Row],[Ship Date]],4)</f>
        <v>2015</v>
      </c>
      <c r="F223" s="4" t="s">
        <v>2100</v>
      </c>
      <c r="G223" t="s">
        <v>171</v>
      </c>
      <c r="H223" t="s">
        <v>797</v>
      </c>
      <c r="I223" t="s">
        <v>798</v>
      </c>
      <c r="J223" t="s">
        <v>23</v>
      </c>
      <c r="K223" s="5" t="s">
        <v>1949</v>
      </c>
      <c r="L223" s="5" t="str">
        <f t="shared" si="3"/>
        <v>Dublin</v>
      </c>
      <c r="M223" t="s">
        <v>455</v>
      </c>
      <c r="N223">
        <v>43017</v>
      </c>
      <c r="O223" t="s">
        <v>133</v>
      </c>
      <c r="P223" t="s">
        <v>378</v>
      </c>
      <c r="Q223" t="s">
        <v>40</v>
      </c>
      <c r="R223" t="s">
        <v>68</v>
      </c>
      <c r="S223" t="s">
        <v>379</v>
      </c>
      <c r="T223">
        <v>19.776000000000003</v>
      </c>
      <c r="U223">
        <v>4</v>
      </c>
      <c r="V223">
        <v>0.7</v>
      </c>
      <c r="W223">
        <v>-13.843199999999996</v>
      </c>
    </row>
    <row r="224" spans="1:23" x14ac:dyDescent="0.3">
      <c r="A224">
        <v>223</v>
      </c>
      <c r="B224" t="s">
        <v>796</v>
      </c>
      <c r="C224" s="2">
        <v>42362</v>
      </c>
      <c r="D224" s="2" t="str">
        <f>LEFT(orders[[#This Row],[Ship Date]],FIND("0",F224)-1)</f>
        <v>12</v>
      </c>
      <c r="E224" s="2" t="str">
        <f>RIGHT(orders[[#This Row],[Ship Date]],4)</f>
        <v>2015</v>
      </c>
      <c r="F224" s="4" t="s">
        <v>2100</v>
      </c>
      <c r="G224" t="s">
        <v>171</v>
      </c>
      <c r="H224" t="s">
        <v>797</v>
      </c>
      <c r="I224" t="s">
        <v>798</v>
      </c>
      <c r="J224" t="s">
        <v>23</v>
      </c>
      <c r="K224" s="5" t="s">
        <v>1949</v>
      </c>
      <c r="L224" s="5" t="str">
        <f t="shared" si="3"/>
        <v>Dublin</v>
      </c>
      <c r="M224" t="s">
        <v>455</v>
      </c>
      <c r="N224">
        <v>43017</v>
      </c>
      <c r="O224" t="s">
        <v>133</v>
      </c>
      <c r="P224" t="s">
        <v>803</v>
      </c>
      <c r="Q224" t="s">
        <v>27</v>
      </c>
      <c r="R224" t="s">
        <v>58</v>
      </c>
      <c r="S224" t="s">
        <v>804</v>
      </c>
      <c r="T224">
        <v>72.703999999999994</v>
      </c>
      <c r="U224">
        <v>4</v>
      </c>
      <c r="V224">
        <v>0.2</v>
      </c>
      <c r="W224">
        <v>19.084800000000005</v>
      </c>
    </row>
    <row r="225" spans="1:23" x14ac:dyDescent="0.3">
      <c r="A225">
        <v>224</v>
      </c>
      <c r="B225" t="s">
        <v>796</v>
      </c>
      <c r="C225" s="2">
        <v>42362</v>
      </c>
      <c r="D225" s="2" t="str">
        <f>LEFT(orders[[#This Row],[Ship Date]],FIND("0",F225)-1)</f>
        <v>12</v>
      </c>
      <c r="E225" s="2" t="str">
        <f>RIGHT(orders[[#This Row],[Ship Date]],4)</f>
        <v>2015</v>
      </c>
      <c r="F225" s="4" t="s">
        <v>2100</v>
      </c>
      <c r="G225" t="s">
        <v>171</v>
      </c>
      <c r="H225" t="s">
        <v>797</v>
      </c>
      <c r="I225" t="s">
        <v>798</v>
      </c>
      <c r="J225" t="s">
        <v>23</v>
      </c>
      <c r="K225" s="5" t="s">
        <v>1949</v>
      </c>
      <c r="L225" s="5" t="str">
        <f t="shared" si="3"/>
        <v>Dublin</v>
      </c>
      <c r="M225" t="s">
        <v>455</v>
      </c>
      <c r="N225">
        <v>43017</v>
      </c>
      <c r="O225" t="s">
        <v>133</v>
      </c>
      <c r="P225" t="s">
        <v>805</v>
      </c>
      <c r="Q225" t="s">
        <v>64</v>
      </c>
      <c r="R225" t="s">
        <v>627</v>
      </c>
      <c r="S225" t="s">
        <v>806</v>
      </c>
      <c r="T225">
        <v>479.98800000000006</v>
      </c>
      <c r="U225">
        <v>4</v>
      </c>
      <c r="V225">
        <v>0.7</v>
      </c>
      <c r="W225">
        <v>-383.99040000000002</v>
      </c>
    </row>
    <row r="226" spans="1:23" x14ac:dyDescent="0.3">
      <c r="A226">
        <v>225</v>
      </c>
      <c r="B226" t="s">
        <v>796</v>
      </c>
      <c r="C226" s="2">
        <v>42362</v>
      </c>
      <c r="D226" s="2" t="str">
        <f>LEFT(orders[[#This Row],[Ship Date]],FIND("0",F226)-1)</f>
        <v>12</v>
      </c>
      <c r="E226" s="2" t="str">
        <f>RIGHT(orders[[#This Row],[Ship Date]],4)</f>
        <v>2015</v>
      </c>
      <c r="F226" s="4" t="s">
        <v>2100</v>
      </c>
      <c r="G226" t="s">
        <v>171</v>
      </c>
      <c r="H226" t="s">
        <v>797</v>
      </c>
      <c r="I226" t="s">
        <v>798</v>
      </c>
      <c r="J226" t="s">
        <v>23</v>
      </c>
      <c r="K226" s="5" t="s">
        <v>1949</v>
      </c>
      <c r="L226" s="5" t="str">
        <f t="shared" si="3"/>
        <v>Dublin</v>
      </c>
      <c r="M226" t="s">
        <v>455</v>
      </c>
      <c r="N226">
        <v>43017</v>
      </c>
      <c r="O226" t="s">
        <v>133</v>
      </c>
      <c r="P226" t="s">
        <v>807</v>
      </c>
      <c r="Q226" t="s">
        <v>40</v>
      </c>
      <c r="R226" t="s">
        <v>61</v>
      </c>
      <c r="S226" t="s">
        <v>808</v>
      </c>
      <c r="T226">
        <v>27.168000000000003</v>
      </c>
      <c r="U226">
        <v>2</v>
      </c>
      <c r="V226">
        <v>0.2</v>
      </c>
      <c r="W226">
        <v>2.7168000000000001</v>
      </c>
    </row>
    <row r="227" spans="1:23" x14ac:dyDescent="0.3">
      <c r="A227">
        <v>226</v>
      </c>
      <c r="B227" t="s">
        <v>809</v>
      </c>
      <c r="C227" s="2">
        <v>42225</v>
      </c>
      <c r="D227" s="2" t="str">
        <f>LEFT(orders[[#This Row],[Ship Date]],FIND("0",F227)-1)</f>
        <v>8</v>
      </c>
      <c r="E227" s="2" t="str">
        <f>RIGHT(orders[[#This Row],[Ship Date]],4)</f>
        <v>2015</v>
      </c>
      <c r="F227" s="4" t="s">
        <v>2101</v>
      </c>
      <c r="G227" t="s">
        <v>44</v>
      </c>
      <c r="H227" t="s">
        <v>810</v>
      </c>
      <c r="I227" t="s">
        <v>811</v>
      </c>
      <c r="J227" t="s">
        <v>36</v>
      </c>
      <c r="K227" s="5" t="s">
        <v>1950</v>
      </c>
      <c r="L227" s="5" t="str">
        <f t="shared" si="3"/>
        <v>Detroit</v>
      </c>
      <c r="M227" t="s">
        <v>216</v>
      </c>
      <c r="N227">
        <v>48227</v>
      </c>
      <c r="O227" t="s">
        <v>95</v>
      </c>
      <c r="P227" t="s">
        <v>812</v>
      </c>
      <c r="Q227" t="s">
        <v>40</v>
      </c>
      <c r="R227" t="s">
        <v>61</v>
      </c>
      <c r="S227" t="s">
        <v>813</v>
      </c>
      <c r="T227">
        <v>2.2000000000000002</v>
      </c>
      <c r="U227">
        <v>1</v>
      </c>
      <c r="V227">
        <v>0</v>
      </c>
      <c r="W227">
        <v>0.96800000000000019</v>
      </c>
    </row>
    <row r="228" spans="1:23" x14ac:dyDescent="0.3">
      <c r="A228">
        <v>227</v>
      </c>
      <c r="B228" t="s">
        <v>809</v>
      </c>
      <c r="C228" s="2">
        <v>42225</v>
      </c>
      <c r="D228" s="2" t="str">
        <f>LEFT(orders[[#This Row],[Ship Date]],FIND("0",F228)-1)</f>
        <v>8</v>
      </c>
      <c r="E228" s="2" t="str">
        <f>RIGHT(orders[[#This Row],[Ship Date]],4)</f>
        <v>2015</v>
      </c>
      <c r="F228" s="4" t="s">
        <v>2101</v>
      </c>
      <c r="G228" t="s">
        <v>44</v>
      </c>
      <c r="H228" t="s">
        <v>810</v>
      </c>
      <c r="I228" t="s">
        <v>811</v>
      </c>
      <c r="J228" t="s">
        <v>36</v>
      </c>
      <c r="K228" s="5" t="s">
        <v>1950</v>
      </c>
      <c r="L228" s="5" t="str">
        <f t="shared" si="3"/>
        <v>Detroit</v>
      </c>
      <c r="M228" t="s">
        <v>216</v>
      </c>
      <c r="N228">
        <v>48227</v>
      </c>
      <c r="O228" t="s">
        <v>95</v>
      </c>
      <c r="P228" t="s">
        <v>814</v>
      </c>
      <c r="Q228" t="s">
        <v>27</v>
      </c>
      <c r="R228" t="s">
        <v>49</v>
      </c>
      <c r="S228" t="s">
        <v>815</v>
      </c>
      <c r="T228">
        <v>622.44999999999993</v>
      </c>
      <c r="U228">
        <v>5</v>
      </c>
      <c r="V228">
        <v>0</v>
      </c>
      <c r="W228">
        <v>136.93899999999999</v>
      </c>
    </row>
    <row r="229" spans="1:23" x14ac:dyDescent="0.3">
      <c r="A229">
        <v>228</v>
      </c>
      <c r="B229" t="s">
        <v>809</v>
      </c>
      <c r="C229" s="2">
        <v>42225</v>
      </c>
      <c r="D229" s="2" t="str">
        <f>LEFT(orders[[#This Row],[Ship Date]],FIND("0",F229)-1)</f>
        <v>8</v>
      </c>
      <c r="E229" s="2" t="str">
        <f>RIGHT(orders[[#This Row],[Ship Date]],4)</f>
        <v>2015</v>
      </c>
      <c r="F229" s="4" t="s">
        <v>2101</v>
      </c>
      <c r="G229" t="s">
        <v>44</v>
      </c>
      <c r="H229" t="s">
        <v>810</v>
      </c>
      <c r="I229" t="s">
        <v>811</v>
      </c>
      <c r="J229" t="s">
        <v>36</v>
      </c>
      <c r="K229" s="5" t="s">
        <v>1950</v>
      </c>
      <c r="L229" s="5" t="str">
        <f t="shared" si="3"/>
        <v>Detroit</v>
      </c>
      <c r="M229" t="s">
        <v>216</v>
      </c>
      <c r="N229">
        <v>48227</v>
      </c>
      <c r="O229" t="s">
        <v>95</v>
      </c>
      <c r="P229" t="s">
        <v>816</v>
      </c>
      <c r="Q229" t="s">
        <v>40</v>
      </c>
      <c r="R229" t="s">
        <v>52</v>
      </c>
      <c r="S229" t="s">
        <v>817</v>
      </c>
      <c r="T229">
        <v>21.98</v>
      </c>
      <c r="U229">
        <v>1</v>
      </c>
      <c r="V229">
        <v>0</v>
      </c>
      <c r="W229">
        <v>0.21979999999999933</v>
      </c>
    </row>
    <row r="230" spans="1:23" x14ac:dyDescent="0.3">
      <c r="A230">
        <v>229</v>
      </c>
      <c r="B230" t="s">
        <v>818</v>
      </c>
      <c r="C230" s="2">
        <v>42063</v>
      </c>
      <c r="D230" s="2" t="str">
        <f>LEFT(orders[[#This Row],[Ship Date]],FIND("0",F230)-1)</f>
        <v>3</v>
      </c>
      <c r="E230" s="2" t="str">
        <f>RIGHT(orders[[#This Row],[Ship Date]],4)</f>
        <v>2015</v>
      </c>
      <c r="F230" s="4" t="s">
        <v>2102</v>
      </c>
      <c r="G230" t="s">
        <v>44</v>
      </c>
      <c r="H230" t="s">
        <v>819</v>
      </c>
      <c r="I230" t="s">
        <v>820</v>
      </c>
      <c r="J230" t="s">
        <v>23</v>
      </c>
      <c r="K230" s="5" t="s">
        <v>1913</v>
      </c>
      <c r="L230" s="5" t="str">
        <f t="shared" si="3"/>
        <v>Columbia</v>
      </c>
      <c r="M230" t="s">
        <v>304</v>
      </c>
      <c r="N230">
        <v>38401</v>
      </c>
      <c r="O230" t="s">
        <v>25</v>
      </c>
      <c r="P230" t="s">
        <v>821</v>
      </c>
      <c r="Q230" t="s">
        <v>27</v>
      </c>
      <c r="R230" t="s">
        <v>31</v>
      </c>
      <c r="S230" t="s">
        <v>822</v>
      </c>
      <c r="T230">
        <v>161.56800000000001</v>
      </c>
      <c r="U230">
        <v>2</v>
      </c>
      <c r="V230">
        <v>0.2</v>
      </c>
      <c r="W230">
        <v>-28.274400000000021</v>
      </c>
    </row>
    <row r="231" spans="1:23" x14ac:dyDescent="0.3">
      <c r="A231">
        <v>230</v>
      </c>
      <c r="B231" t="s">
        <v>818</v>
      </c>
      <c r="C231" s="2">
        <v>42063</v>
      </c>
      <c r="D231" s="2" t="str">
        <f>LEFT(orders[[#This Row],[Ship Date]],FIND("0",F231)-1)</f>
        <v>3</v>
      </c>
      <c r="E231" s="2" t="str">
        <f>RIGHT(orders[[#This Row],[Ship Date]],4)</f>
        <v>2015</v>
      </c>
      <c r="F231" s="4" t="s">
        <v>2102</v>
      </c>
      <c r="G231" t="s">
        <v>44</v>
      </c>
      <c r="H231" t="s">
        <v>819</v>
      </c>
      <c r="I231" t="s">
        <v>820</v>
      </c>
      <c r="J231" t="s">
        <v>23</v>
      </c>
      <c r="K231" s="5" t="s">
        <v>1913</v>
      </c>
      <c r="L231" s="5" t="str">
        <f t="shared" si="3"/>
        <v>Columbia</v>
      </c>
      <c r="M231" t="s">
        <v>304</v>
      </c>
      <c r="N231">
        <v>38401</v>
      </c>
      <c r="O231" t="s">
        <v>25</v>
      </c>
      <c r="P231" t="s">
        <v>823</v>
      </c>
      <c r="Q231" t="s">
        <v>27</v>
      </c>
      <c r="R231" t="s">
        <v>31</v>
      </c>
      <c r="S231" t="s">
        <v>824</v>
      </c>
      <c r="T231">
        <v>389.69600000000003</v>
      </c>
      <c r="U231">
        <v>8</v>
      </c>
      <c r="V231">
        <v>0.2</v>
      </c>
      <c r="W231">
        <v>43.840799999999973</v>
      </c>
    </row>
    <row r="232" spans="1:23" x14ac:dyDescent="0.3">
      <c r="A232">
        <v>231</v>
      </c>
      <c r="B232" t="s">
        <v>825</v>
      </c>
      <c r="C232" s="2">
        <v>41895</v>
      </c>
      <c r="D232" s="2" t="str">
        <f>LEFT(orders[[#This Row],[Ship Date]],FIND("0",F232)-1)</f>
        <v>9</v>
      </c>
      <c r="E232" s="2" t="str">
        <f>RIGHT(orders[[#This Row],[Ship Date]],4)</f>
        <v>2014</v>
      </c>
      <c r="F232" s="4" t="s">
        <v>2103</v>
      </c>
      <c r="G232" t="s">
        <v>44</v>
      </c>
      <c r="H232" t="s">
        <v>826</v>
      </c>
      <c r="I232" t="s">
        <v>827</v>
      </c>
      <c r="J232" t="s">
        <v>36</v>
      </c>
      <c r="K232" s="5" t="s">
        <v>1919</v>
      </c>
      <c r="L232" s="5" t="str">
        <f t="shared" si="3"/>
        <v>Charlotte</v>
      </c>
      <c r="M232" t="s">
        <v>80</v>
      </c>
      <c r="N232">
        <v>28205</v>
      </c>
      <c r="O232" t="s">
        <v>25</v>
      </c>
      <c r="P232" t="s">
        <v>828</v>
      </c>
      <c r="Q232" t="s">
        <v>40</v>
      </c>
      <c r="R232" t="s">
        <v>68</v>
      </c>
      <c r="S232" t="s">
        <v>829</v>
      </c>
      <c r="T232">
        <v>18.648000000000003</v>
      </c>
      <c r="U232">
        <v>7</v>
      </c>
      <c r="V232">
        <v>0.7</v>
      </c>
      <c r="W232">
        <v>-12.431999999999999</v>
      </c>
    </row>
    <row r="233" spans="1:23" x14ac:dyDescent="0.3">
      <c r="A233">
        <v>232</v>
      </c>
      <c r="B233" t="s">
        <v>830</v>
      </c>
      <c r="C233" s="2">
        <v>42832</v>
      </c>
      <c r="D233" s="2" t="str">
        <f>LEFT(orders[[#This Row],[Ship Date]],FIND("0",F233)-1)</f>
        <v>4</v>
      </c>
      <c r="E233" s="2" t="str">
        <f>RIGHT(orders[[#This Row],[Ship Date]],4)</f>
        <v>2017</v>
      </c>
      <c r="F233" s="4" t="s">
        <v>2104</v>
      </c>
      <c r="G233" t="s">
        <v>44</v>
      </c>
      <c r="H233" t="s">
        <v>344</v>
      </c>
      <c r="I233" t="s">
        <v>345</v>
      </c>
      <c r="J233" t="s">
        <v>93</v>
      </c>
      <c r="K233" s="5" t="s">
        <v>1951</v>
      </c>
      <c r="L233" s="5" t="str">
        <f t="shared" si="3"/>
        <v>Tampa</v>
      </c>
      <c r="M233" t="s">
        <v>47</v>
      </c>
      <c r="N233">
        <v>33614</v>
      </c>
      <c r="O233" t="s">
        <v>25</v>
      </c>
      <c r="P233" t="s">
        <v>831</v>
      </c>
      <c r="Q233" t="s">
        <v>27</v>
      </c>
      <c r="R233" t="s">
        <v>49</v>
      </c>
      <c r="S233" t="s">
        <v>832</v>
      </c>
      <c r="T233">
        <v>233.86</v>
      </c>
      <c r="U233">
        <v>2</v>
      </c>
      <c r="V233">
        <v>0.45</v>
      </c>
      <c r="W233">
        <v>-102.04800000000003</v>
      </c>
    </row>
    <row r="234" spans="1:23" x14ac:dyDescent="0.3">
      <c r="A234">
        <v>233</v>
      </c>
      <c r="B234" t="s">
        <v>830</v>
      </c>
      <c r="C234" s="2">
        <v>42832</v>
      </c>
      <c r="D234" s="2" t="str">
        <f>LEFT(orders[[#This Row],[Ship Date]],FIND("0",F234)-1)</f>
        <v>4</v>
      </c>
      <c r="E234" s="2" t="str">
        <f>RIGHT(orders[[#This Row],[Ship Date]],4)</f>
        <v>2017</v>
      </c>
      <c r="F234" s="4" t="s">
        <v>2104</v>
      </c>
      <c r="G234" t="s">
        <v>44</v>
      </c>
      <c r="H234" t="s">
        <v>344</v>
      </c>
      <c r="I234" t="s">
        <v>345</v>
      </c>
      <c r="J234" t="s">
        <v>93</v>
      </c>
      <c r="K234" s="5" t="s">
        <v>1951</v>
      </c>
      <c r="L234" s="5" t="str">
        <f t="shared" si="3"/>
        <v>Tampa</v>
      </c>
      <c r="M234" t="s">
        <v>47</v>
      </c>
      <c r="N234">
        <v>33614</v>
      </c>
      <c r="O234" t="s">
        <v>25</v>
      </c>
      <c r="P234" t="s">
        <v>833</v>
      </c>
      <c r="Q234" t="s">
        <v>27</v>
      </c>
      <c r="R234" t="s">
        <v>49</v>
      </c>
      <c r="S234" t="s">
        <v>834</v>
      </c>
      <c r="T234">
        <v>620.61450000000013</v>
      </c>
      <c r="U234">
        <v>3</v>
      </c>
      <c r="V234">
        <v>0.45</v>
      </c>
      <c r="W234">
        <v>-248.24579999999992</v>
      </c>
    </row>
    <row r="235" spans="1:23" x14ac:dyDescent="0.3">
      <c r="A235">
        <v>234</v>
      </c>
      <c r="B235" t="s">
        <v>830</v>
      </c>
      <c r="C235" s="2">
        <v>42832</v>
      </c>
      <c r="D235" s="2" t="str">
        <f>LEFT(orders[[#This Row],[Ship Date]],FIND("0",F235)-1)</f>
        <v>4</v>
      </c>
      <c r="E235" s="2" t="str">
        <f>RIGHT(orders[[#This Row],[Ship Date]],4)</f>
        <v>2017</v>
      </c>
      <c r="F235" s="4" t="s">
        <v>2104</v>
      </c>
      <c r="G235" t="s">
        <v>44</v>
      </c>
      <c r="H235" t="s">
        <v>344</v>
      </c>
      <c r="I235" t="s">
        <v>345</v>
      </c>
      <c r="J235" t="s">
        <v>93</v>
      </c>
      <c r="K235" s="5" t="s">
        <v>1951</v>
      </c>
      <c r="L235" s="5" t="str">
        <f t="shared" si="3"/>
        <v>Tampa</v>
      </c>
      <c r="M235" t="s">
        <v>47</v>
      </c>
      <c r="N235">
        <v>33614</v>
      </c>
      <c r="O235" t="s">
        <v>25</v>
      </c>
      <c r="P235" t="s">
        <v>828</v>
      </c>
      <c r="Q235" t="s">
        <v>40</v>
      </c>
      <c r="R235" t="s">
        <v>68</v>
      </c>
      <c r="S235" t="s">
        <v>829</v>
      </c>
      <c r="T235">
        <v>5.3280000000000012</v>
      </c>
      <c r="U235">
        <v>2</v>
      </c>
      <c r="V235">
        <v>0.7</v>
      </c>
      <c r="W235">
        <v>-3.5519999999999996</v>
      </c>
    </row>
    <row r="236" spans="1:23" x14ac:dyDescent="0.3">
      <c r="A236">
        <v>235</v>
      </c>
      <c r="B236" t="s">
        <v>830</v>
      </c>
      <c r="C236" s="2">
        <v>42832</v>
      </c>
      <c r="D236" s="2" t="str">
        <f>LEFT(orders[[#This Row],[Ship Date]],FIND("0",F236)-1)</f>
        <v>4</v>
      </c>
      <c r="E236" s="2" t="str">
        <f>RIGHT(orders[[#This Row],[Ship Date]],4)</f>
        <v>2017</v>
      </c>
      <c r="F236" s="4" t="s">
        <v>2104</v>
      </c>
      <c r="G236" t="s">
        <v>44</v>
      </c>
      <c r="H236" t="s">
        <v>344</v>
      </c>
      <c r="I236" t="s">
        <v>345</v>
      </c>
      <c r="J236" t="s">
        <v>93</v>
      </c>
      <c r="K236" s="5" t="s">
        <v>1951</v>
      </c>
      <c r="L236" s="5" t="str">
        <f t="shared" si="3"/>
        <v>Tampa</v>
      </c>
      <c r="M236" t="s">
        <v>47</v>
      </c>
      <c r="N236">
        <v>33614</v>
      </c>
      <c r="O236" t="s">
        <v>25</v>
      </c>
      <c r="P236" t="s">
        <v>835</v>
      </c>
      <c r="Q236" t="s">
        <v>27</v>
      </c>
      <c r="R236" t="s">
        <v>58</v>
      </c>
      <c r="S236" t="s">
        <v>836</v>
      </c>
      <c r="T236">
        <v>258.072</v>
      </c>
      <c r="U236">
        <v>3</v>
      </c>
      <c r="V236">
        <v>0.2</v>
      </c>
      <c r="W236">
        <v>0</v>
      </c>
    </row>
    <row r="237" spans="1:23" x14ac:dyDescent="0.3">
      <c r="A237">
        <v>236</v>
      </c>
      <c r="B237" t="s">
        <v>830</v>
      </c>
      <c r="C237" s="2">
        <v>42832</v>
      </c>
      <c r="D237" s="2" t="str">
        <f>LEFT(orders[[#This Row],[Ship Date]],FIND("0",F237)-1)</f>
        <v>4</v>
      </c>
      <c r="E237" s="2" t="str">
        <f>RIGHT(orders[[#This Row],[Ship Date]],4)</f>
        <v>2017</v>
      </c>
      <c r="F237" s="4" t="s">
        <v>2104</v>
      </c>
      <c r="G237" t="s">
        <v>44</v>
      </c>
      <c r="H237" t="s">
        <v>344</v>
      </c>
      <c r="I237" t="s">
        <v>345</v>
      </c>
      <c r="J237" t="s">
        <v>93</v>
      </c>
      <c r="K237" s="5" t="s">
        <v>1951</v>
      </c>
      <c r="L237" s="5" t="str">
        <f t="shared" si="3"/>
        <v>Tampa</v>
      </c>
      <c r="M237" t="s">
        <v>47</v>
      </c>
      <c r="N237">
        <v>33614</v>
      </c>
      <c r="O237" t="s">
        <v>25</v>
      </c>
      <c r="P237" t="s">
        <v>837</v>
      </c>
      <c r="Q237" t="s">
        <v>64</v>
      </c>
      <c r="R237" t="s">
        <v>145</v>
      </c>
      <c r="S237" t="s">
        <v>838</v>
      </c>
      <c r="T237">
        <v>617.97600000000011</v>
      </c>
      <c r="U237">
        <v>3</v>
      </c>
      <c r="V237">
        <v>0.2</v>
      </c>
      <c r="W237">
        <v>-7.724700000000098</v>
      </c>
    </row>
    <row r="238" spans="1:23" x14ac:dyDescent="0.3">
      <c r="A238">
        <v>237</v>
      </c>
      <c r="B238" t="s">
        <v>839</v>
      </c>
      <c r="C238" s="2">
        <v>43051</v>
      </c>
      <c r="D238" s="2" t="str">
        <f>LEFT(orders[[#This Row],[Ship Date]],FIND("0",F238)-1)</f>
        <v>11</v>
      </c>
      <c r="E238" s="2" t="str">
        <f>RIGHT(orders[[#This Row],[Ship Date]],4)</f>
        <v>2017</v>
      </c>
      <c r="F238" s="4" t="s">
        <v>2040</v>
      </c>
      <c r="G238" t="s">
        <v>44</v>
      </c>
      <c r="H238" t="s">
        <v>840</v>
      </c>
      <c r="I238" t="s">
        <v>841</v>
      </c>
      <c r="J238" t="s">
        <v>36</v>
      </c>
      <c r="K238" s="5" t="s">
        <v>1952</v>
      </c>
      <c r="L238" s="5" t="str">
        <f t="shared" si="3"/>
        <v>Santa Clara</v>
      </c>
      <c r="M238" t="s">
        <v>37</v>
      </c>
      <c r="N238">
        <v>95051</v>
      </c>
      <c r="O238" t="s">
        <v>38</v>
      </c>
      <c r="P238" t="s">
        <v>842</v>
      </c>
      <c r="Q238" t="s">
        <v>40</v>
      </c>
      <c r="R238" t="s">
        <v>82</v>
      </c>
      <c r="S238" t="s">
        <v>843</v>
      </c>
      <c r="T238">
        <v>10.56</v>
      </c>
      <c r="U238">
        <v>2</v>
      </c>
      <c r="V238">
        <v>0</v>
      </c>
      <c r="W238">
        <v>4.7519999999999998</v>
      </c>
    </row>
    <row r="239" spans="1:23" x14ac:dyDescent="0.3">
      <c r="A239">
        <v>238</v>
      </c>
      <c r="B239" t="s">
        <v>844</v>
      </c>
      <c r="C239" s="2">
        <v>42525</v>
      </c>
      <c r="D239" s="2" t="str">
        <f>LEFT(orders[[#This Row],[Ship Date]],FIND("0",F239)-1)</f>
        <v>6</v>
      </c>
      <c r="E239" s="2" t="str">
        <f>RIGHT(orders[[#This Row],[Ship Date]],4)</f>
        <v>2016</v>
      </c>
      <c r="F239" s="4" t="s">
        <v>2105</v>
      </c>
      <c r="G239" t="s">
        <v>20</v>
      </c>
      <c r="H239" t="s">
        <v>845</v>
      </c>
      <c r="I239" t="s">
        <v>846</v>
      </c>
      <c r="J239" t="s">
        <v>23</v>
      </c>
      <c r="K239" s="5" t="s">
        <v>1906</v>
      </c>
      <c r="L239" s="5" t="str">
        <f t="shared" si="3"/>
        <v>Chicago</v>
      </c>
      <c r="M239" t="s">
        <v>192</v>
      </c>
      <c r="N239">
        <v>60610</v>
      </c>
      <c r="O239" t="s">
        <v>95</v>
      </c>
      <c r="P239" t="s">
        <v>847</v>
      </c>
      <c r="Q239" t="s">
        <v>40</v>
      </c>
      <c r="R239" t="s">
        <v>82</v>
      </c>
      <c r="S239" t="s">
        <v>848</v>
      </c>
      <c r="T239">
        <v>25.920000000000005</v>
      </c>
      <c r="U239">
        <v>5</v>
      </c>
      <c r="V239">
        <v>0.2</v>
      </c>
      <c r="W239">
        <v>9.3960000000000008</v>
      </c>
    </row>
    <row r="240" spans="1:23" x14ac:dyDescent="0.3">
      <c r="A240">
        <v>239</v>
      </c>
      <c r="B240" t="s">
        <v>844</v>
      </c>
      <c r="C240" s="2">
        <v>42525</v>
      </c>
      <c r="D240" s="2" t="str">
        <f>LEFT(orders[[#This Row],[Ship Date]],FIND("0",F240)-1)</f>
        <v>6</v>
      </c>
      <c r="E240" s="2" t="str">
        <f>RIGHT(orders[[#This Row],[Ship Date]],4)</f>
        <v>2016</v>
      </c>
      <c r="F240" s="4" t="s">
        <v>2105</v>
      </c>
      <c r="G240" t="s">
        <v>20</v>
      </c>
      <c r="H240" t="s">
        <v>845</v>
      </c>
      <c r="I240" t="s">
        <v>846</v>
      </c>
      <c r="J240" t="s">
        <v>23</v>
      </c>
      <c r="K240" s="5" t="s">
        <v>1906</v>
      </c>
      <c r="L240" s="5" t="str">
        <f t="shared" si="3"/>
        <v>Chicago</v>
      </c>
      <c r="M240" t="s">
        <v>192</v>
      </c>
      <c r="N240">
        <v>60610</v>
      </c>
      <c r="O240" t="s">
        <v>95</v>
      </c>
      <c r="P240" t="s">
        <v>849</v>
      </c>
      <c r="Q240" t="s">
        <v>27</v>
      </c>
      <c r="R240" t="s">
        <v>58</v>
      </c>
      <c r="S240" t="s">
        <v>850</v>
      </c>
      <c r="T240">
        <v>419.68000000000006</v>
      </c>
      <c r="U240">
        <v>5</v>
      </c>
      <c r="V240">
        <v>0.6</v>
      </c>
      <c r="W240">
        <v>-356.72799999999995</v>
      </c>
    </row>
    <row r="241" spans="1:23" x14ac:dyDescent="0.3">
      <c r="A241">
        <v>240</v>
      </c>
      <c r="B241" t="s">
        <v>844</v>
      </c>
      <c r="C241" s="2">
        <v>42525</v>
      </c>
      <c r="D241" s="2" t="str">
        <f>LEFT(orders[[#This Row],[Ship Date]],FIND("0",F241)-1)</f>
        <v>6</v>
      </c>
      <c r="E241" s="2" t="str">
        <f>RIGHT(orders[[#This Row],[Ship Date]],4)</f>
        <v>2016</v>
      </c>
      <c r="F241" s="4" t="s">
        <v>2105</v>
      </c>
      <c r="G241" t="s">
        <v>20</v>
      </c>
      <c r="H241" t="s">
        <v>845</v>
      </c>
      <c r="I241" t="s">
        <v>846</v>
      </c>
      <c r="J241" t="s">
        <v>23</v>
      </c>
      <c r="K241" s="5" t="s">
        <v>1906</v>
      </c>
      <c r="L241" s="5" t="str">
        <f t="shared" si="3"/>
        <v>Chicago</v>
      </c>
      <c r="M241" t="s">
        <v>192</v>
      </c>
      <c r="N241">
        <v>60610</v>
      </c>
      <c r="O241" t="s">
        <v>95</v>
      </c>
      <c r="P241" t="s">
        <v>851</v>
      </c>
      <c r="Q241" t="s">
        <v>27</v>
      </c>
      <c r="R241" t="s">
        <v>58</v>
      </c>
      <c r="S241" t="s">
        <v>852</v>
      </c>
      <c r="T241">
        <v>11.688000000000001</v>
      </c>
      <c r="U241">
        <v>3</v>
      </c>
      <c r="V241">
        <v>0.6</v>
      </c>
      <c r="W241">
        <v>-4.6751999999999985</v>
      </c>
    </row>
    <row r="242" spans="1:23" x14ac:dyDescent="0.3">
      <c r="A242">
        <v>241</v>
      </c>
      <c r="B242" t="s">
        <v>844</v>
      </c>
      <c r="C242" s="2">
        <v>42525</v>
      </c>
      <c r="D242" s="2" t="str">
        <f>LEFT(orders[[#This Row],[Ship Date]],FIND("0",F242)-1)</f>
        <v>6</v>
      </c>
      <c r="E242" s="2" t="str">
        <f>RIGHT(orders[[#This Row],[Ship Date]],4)</f>
        <v>2016</v>
      </c>
      <c r="F242" s="4" t="s">
        <v>2105</v>
      </c>
      <c r="G242" t="s">
        <v>20</v>
      </c>
      <c r="H242" t="s">
        <v>845</v>
      </c>
      <c r="I242" t="s">
        <v>846</v>
      </c>
      <c r="J242" t="s">
        <v>23</v>
      </c>
      <c r="K242" s="5" t="s">
        <v>1906</v>
      </c>
      <c r="L242" s="5" t="str">
        <f t="shared" si="3"/>
        <v>Chicago</v>
      </c>
      <c r="M242" t="s">
        <v>192</v>
      </c>
      <c r="N242">
        <v>60610</v>
      </c>
      <c r="O242" t="s">
        <v>95</v>
      </c>
      <c r="P242" t="s">
        <v>853</v>
      </c>
      <c r="Q242" t="s">
        <v>64</v>
      </c>
      <c r="R242" t="s">
        <v>65</v>
      </c>
      <c r="S242" t="s">
        <v>854</v>
      </c>
      <c r="T242">
        <v>31.983999999999998</v>
      </c>
      <c r="U242">
        <v>2</v>
      </c>
      <c r="V242">
        <v>0.2</v>
      </c>
      <c r="W242">
        <v>11.194399999999998</v>
      </c>
    </row>
    <row r="243" spans="1:23" x14ac:dyDescent="0.3">
      <c r="A243">
        <v>242</v>
      </c>
      <c r="B243" t="s">
        <v>844</v>
      </c>
      <c r="C243" s="2">
        <v>42525</v>
      </c>
      <c r="D243" s="2" t="str">
        <f>LEFT(orders[[#This Row],[Ship Date]],FIND("0",F243)-1)</f>
        <v>6</v>
      </c>
      <c r="E243" s="2" t="str">
        <f>RIGHT(orders[[#This Row],[Ship Date]],4)</f>
        <v>2016</v>
      </c>
      <c r="F243" s="4" t="s">
        <v>2105</v>
      </c>
      <c r="G243" t="s">
        <v>20</v>
      </c>
      <c r="H243" t="s">
        <v>845</v>
      </c>
      <c r="I243" t="s">
        <v>846</v>
      </c>
      <c r="J243" t="s">
        <v>23</v>
      </c>
      <c r="K243" s="5" t="s">
        <v>1906</v>
      </c>
      <c r="L243" s="5" t="str">
        <f t="shared" si="3"/>
        <v>Chicago</v>
      </c>
      <c r="M243" t="s">
        <v>192</v>
      </c>
      <c r="N243">
        <v>60610</v>
      </c>
      <c r="O243" t="s">
        <v>95</v>
      </c>
      <c r="P243" t="s">
        <v>855</v>
      </c>
      <c r="Q243" t="s">
        <v>27</v>
      </c>
      <c r="R243" t="s">
        <v>49</v>
      </c>
      <c r="S243" t="s">
        <v>856</v>
      </c>
      <c r="T243">
        <v>177.22499999999999</v>
      </c>
      <c r="U243">
        <v>5</v>
      </c>
      <c r="V243">
        <v>0.5</v>
      </c>
      <c r="W243">
        <v>-120.51299999999998</v>
      </c>
    </row>
    <row r="244" spans="1:23" x14ac:dyDescent="0.3">
      <c r="A244">
        <v>243</v>
      </c>
      <c r="B244" t="s">
        <v>844</v>
      </c>
      <c r="C244" s="2">
        <v>42525</v>
      </c>
      <c r="D244" s="2" t="str">
        <f>LEFT(orders[[#This Row],[Ship Date]],FIND("0",F244)-1)</f>
        <v>6</v>
      </c>
      <c r="E244" s="2" t="str">
        <f>RIGHT(orders[[#This Row],[Ship Date]],4)</f>
        <v>2016</v>
      </c>
      <c r="F244" s="4" t="s">
        <v>2105</v>
      </c>
      <c r="G244" t="s">
        <v>20</v>
      </c>
      <c r="H244" t="s">
        <v>845</v>
      </c>
      <c r="I244" t="s">
        <v>846</v>
      </c>
      <c r="J244" t="s">
        <v>23</v>
      </c>
      <c r="K244" s="5" t="s">
        <v>1906</v>
      </c>
      <c r="L244" s="5" t="str">
        <f t="shared" si="3"/>
        <v>Chicago</v>
      </c>
      <c r="M244" t="s">
        <v>192</v>
      </c>
      <c r="N244">
        <v>60610</v>
      </c>
      <c r="O244" t="s">
        <v>95</v>
      </c>
      <c r="P244" t="s">
        <v>857</v>
      </c>
      <c r="Q244" t="s">
        <v>27</v>
      </c>
      <c r="R244" t="s">
        <v>58</v>
      </c>
      <c r="S244" t="s">
        <v>858</v>
      </c>
      <c r="T244">
        <v>4.0440000000000005</v>
      </c>
      <c r="U244">
        <v>3</v>
      </c>
      <c r="V244">
        <v>0.6</v>
      </c>
      <c r="W244">
        <v>-2.8307999999999995</v>
      </c>
    </row>
    <row r="245" spans="1:23" x14ac:dyDescent="0.3">
      <c r="A245">
        <v>244</v>
      </c>
      <c r="B245" t="s">
        <v>844</v>
      </c>
      <c r="C245" s="2">
        <v>42525</v>
      </c>
      <c r="D245" s="2" t="str">
        <f>LEFT(orders[[#This Row],[Ship Date]],FIND("0",F245)-1)</f>
        <v>6</v>
      </c>
      <c r="E245" s="2" t="str">
        <f>RIGHT(orders[[#This Row],[Ship Date]],4)</f>
        <v>2016</v>
      </c>
      <c r="F245" s="4" t="s">
        <v>2105</v>
      </c>
      <c r="G245" t="s">
        <v>20</v>
      </c>
      <c r="H245" t="s">
        <v>845</v>
      </c>
      <c r="I245" t="s">
        <v>846</v>
      </c>
      <c r="J245" t="s">
        <v>23</v>
      </c>
      <c r="K245" s="5" t="s">
        <v>1906</v>
      </c>
      <c r="L245" s="5" t="str">
        <f t="shared" si="3"/>
        <v>Chicago</v>
      </c>
      <c r="M245" t="s">
        <v>192</v>
      </c>
      <c r="N245">
        <v>60610</v>
      </c>
      <c r="O245" t="s">
        <v>95</v>
      </c>
      <c r="P245" t="s">
        <v>720</v>
      </c>
      <c r="Q245" t="s">
        <v>40</v>
      </c>
      <c r="R245" t="s">
        <v>61</v>
      </c>
      <c r="S245" t="s">
        <v>721</v>
      </c>
      <c r="T245">
        <v>7.4080000000000004</v>
      </c>
      <c r="U245">
        <v>2</v>
      </c>
      <c r="V245">
        <v>0.2</v>
      </c>
      <c r="W245">
        <v>1.2037999999999995</v>
      </c>
    </row>
    <row r="246" spans="1:23" x14ac:dyDescent="0.3">
      <c r="A246">
        <v>245</v>
      </c>
      <c r="B246" t="s">
        <v>859</v>
      </c>
      <c r="C246" s="2">
        <v>41791</v>
      </c>
      <c r="D246" s="2" t="str">
        <f>LEFT(orders[[#This Row],[Ship Date]],FIND("0",F246)-1)</f>
        <v>6</v>
      </c>
      <c r="E246" s="2" t="str">
        <f>RIGHT(orders[[#This Row],[Ship Date]],4)</f>
        <v>2014</v>
      </c>
      <c r="F246" s="4" t="s">
        <v>2106</v>
      </c>
      <c r="G246" t="s">
        <v>20</v>
      </c>
      <c r="H246" t="s">
        <v>860</v>
      </c>
      <c r="I246" t="s">
        <v>861</v>
      </c>
      <c r="J246" t="s">
        <v>93</v>
      </c>
      <c r="K246" s="5" t="s">
        <v>1953</v>
      </c>
      <c r="L246" s="5" t="str">
        <f t="shared" si="3"/>
        <v>Lakeville</v>
      </c>
      <c r="M246" t="s">
        <v>208</v>
      </c>
      <c r="N246">
        <v>55044</v>
      </c>
      <c r="O246" t="s">
        <v>95</v>
      </c>
      <c r="P246" t="s">
        <v>488</v>
      </c>
      <c r="Q246" t="s">
        <v>27</v>
      </c>
      <c r="R246" t="s">
        <v>31</v>
      </c>
      <c r="S246" t="s">
        <v>489</v>
      </c>
      <c r="T246">
        <v>2001.8600000000001</v>
      </c>
      <c r="U246">
        <v>7</v>
      </c>
      <c r="V246">
        <v>0</v>
      </c>
      <c r="W246">
        <v>580.53939999999989</v>
      </c>
    </row>
    <row r="247" spans="1:23" x14ac:dyDescent="0.3">
      <c r="A247">
        <v>246</v>
      </c>
      <c r="B247" t="s">
        <v>859</v>
      </c>
      <c r="C247" s="2">
        <v>41791</v>
      </c>
      <c r="D247" s="2" t="str">
        <f>LEFT(orders[[#This Row],[Ship Date]],FIND("0",F247)-1)</f>
        <v>6</v>
      </c>
      <c r="E247" s="2" t="str">
        <f>RIGHT(orders[[#This Row],[Ship Date]],4)</f>
        <v>2014</v>
      </c>
      <c r="F247" s="4" t="s">
        <v>2106</v>
      </c>
      <c r="G247" t="s">
        <v>20</v>
      </c>
      <c r="H247" t="s">
        <v>860</v>
      </c>
      <c r="I247" t="s">
        <v>861</v>
      </c>
      <c r="J247" t="s">
        <v>93</v>
      </c>
      <c r="K247" s="5" t="s">
        <v>1953</v>
      </c>
      <c r="L247" s="5" t="str">
        <f t="shared" si="3"/>
        <v>Lakeville</v>
      </c>
      <c r="M247" t="s">
        <v>208</v>
      </c>
      <c r="N247">
        <v>55044</v>
      </c>
      <c r="O247" t="s">
        <v>95</v>
      </c>
      <c r="P247" t="s">
        <v>862</v>
      </c>
      <c r="Q247" t="s">
        <v>40</v>
      </c>
      <c r="R247" t="s">
        <v>52</v>
      </c>
      <c r="S247" t="s">
        <v>863</v>
      </c>
      <c r="T247">
        <v>166.72</v>
      </c>
      <c r="U247">
        <v>2</v>
      </c>
      <c r="V247">
        <v>0</v>
      </c>
      <c r="W247">
        <v>41.680000000000007</v>
      </c>
    </row>
    <row r="248" spans="1:23" x14ac:dyDescent="0.3">
      <c r="A248">
        <v>247</v>
      </c>
      <c r="B248" t="s">
        <v>859</v>
      </c>
      <c r="C248" s="2">
        <v>41791</v>
      </c>
      <c r="D248" s="2" t="str">
        <f>LEFT(orders[[#This Row],[Ship Date]],FIND("0",F248)-1)</f>
        <v>6</v>
      </c>
      <c r="E248" s="2" t="str">
        <f>RIGHT(orders[[#This Row],[Ship Date]],4)</f>
        <v>2014</v>
      </c>
      <c r="F248" s="4" t="s">
        <v>2106</v>
      </c>
      <c r="G248" t="s">
        <v>20</v>
      </c>
      <c r="H248" t="s">
        <v>860</v>
      </c>
      <c r="I248" t="s">
        <v>861</v>
      </c>
      <c r="J248" t="s">
        <v>93</v>
      </c>
      <c r="K248" s="5" t="s">
        <v>1953</v>
      </c>
      <c r="L248" s="5" t="str">
        <f t="shared" si="3"/>
        <v>Lakeville</v>
      </c>
      <c r="M248" t="s">
        <v>208</v>
      </c>
      <c r="N248">
        <v>55044</v>
      </c>
      <c r="O248" t="s">
        <v>95</v>
      </c>
      <c r="P248" t="s">
        <v>864</v>
      </c>
      <c r="Q248" t="s">
        <v>40</v>
      </c>
      <c r="R248" t="s">
        <v>82</v>
      </c>
      <c r="S248" t="s">
        <v>865</v>
      </c>
      <c r="T248">
        <v>47.88</v>
      </c>
      <c r="U248">
        <v>6</v>
      </c>
      <c r="V248">
        <v>0</v>
      </c>
      <c r="W248">
        <v>23.94</v>
      </c>
    </row>
    <row r="249" spans="1:23" x14ac:dyDescent="0.3">
      <c r="A249">
        <v>248</v>
      </c>
      <c r="B249" t="s">
        <v>859</v>
      </c>
      <c r="C249" s="2">
        <v>41791</v>
      </c>
      <c r="D249" s="2" t="str">
        <f>LEFT(orders[[#This Row],[Ship Date]],FIND("0",F249)-1)</f>
        <v>6</v>
      </c>
      <c r="E249" s="2" t="str">
        <f>RIGHT(orders[[#This Row],[Ship Date]],4)</f>
        <v>2014</v>
      </c>
      <c r="F249" s="4" t="s">
        <v>2106</v>
      </c>
      <c r="G249" t="s">
        <v>20</v>
      </c>
      <c r="H249" t="s">
        <v>860</v>
      </c>
      <c r="I249" t="s">
        <v>861</v>
      </c>
      <c r="J249" t="s">
        <v>93</v>
      </c>
      <c r="K249" s="5" t="s">
        <v>1953</v>
      </c>
      <c r="L249" s="5" t="str">
        <f t="shared" si="3"/>
        <v>Lakeville</v>
      </c>
      <c r="M249" t="s">
        <v>208</v>
      </c>
      <c r="N249">
        <v>55044</v>
      </c>
      <c r="O249" t="s">
        <v>95</v>
      </c>
      <c r="P249" t="s">
        <v>866</v>
      </c>
      <c r="Q249" t="s">
        <v>40</v>
      </c>
      <c r="R249" t="s">
        <v>71</v>
      </c>
      <c r="S249" t="s">
        <v>867</v>
      </c>
      <c r="T249">
        <v>1503.25</v>
      </c>
      <c r="U249">
        <v>5</v>
      </c>
      <c r="V249">
        <v>0</v>
      </c>
      <c r="W249">
        <v>496.07249999999993</v>
      </c>
    </row>
    <row r="250" spans="1:23" x14ac:dyDescent="0.3">
      <c r="A250">
        <v>249</v>
      </c>
      <c r="B250" t="s">
        <v>859</v>
      </c>
      <c r="C250" s="2">
        <v>41791</v>
      </c>
      <c r="D250" s="2" t="str">
        <f>LEFT(orders[[#This Row],[Ship Date]],FIND("0",F250)-1)</f>
        <v>6</v>
      </c>
      <c r="E250" s="2" t="str">
        <f>RIGHT(orders[[#This Row],[Ship Date]],4)</f>
        <v>2014</v>
      </c>
      <c r="F250" s="4" t="s">
        <v>2106</v>
      </c>
      <c r="G250" t="s">
        <v>20</v>
      </c>
      <c r="H250" t="s">
        <v>860</v>
      </c>
      <c r="I250" t="s">
        <v>861</v>
      </c>
      <c r="J250" t="s">
        <v>93</v>
      </c>
      <c r="K250" s="5" t="s">
        <v>1953</v>
      </c>
      <c r="L250" s="5" t="str">
        <f t="shared" si="3"/>
        <v>Lakeville</v>
      </c>
      <c r="M250" t="s">
        <v>208</v>
      </c>
      <c r="N250">
        <v>55044</v>
      </c>
      <c r="O250" t="s">
        <v>95</v>
      </c>
      <c r="P250" t="s">
        <v>710</v>
      </c>
      <c r="Q250" t="s">
        <v>40</v>
      </c>
      <c r="R250" t="s">
        <v>82</v>
      </c>
      <c r="S250" t="s">
        <v>711</v>
      </c>
      <c r="T250">
        <v>25.92</v>
      </c>
      <c r="U250">
        <v>4</v>
      </c>
      <c r="V250">
        <v>0</v>
      </c>
      <c r="W250">
        <v>12.441600000000001</v>
      </c>
    </row>
    <row r="251" spans="1:23" x14ac:dyDescent="0.3">
      <c r="A251">
        <v>250</v>
      </c>
      <c r="B251" t="s">
        <v>868</v>
      </c>
      <c r="C251" s="2">
        <v>42714</v>
      </c>
      <c r="D251" s="2" t="str">
        <f>LEFT(orders[[#This Row],[Ship Date]],FIND("0",F251)-1)</f>
        <v>12</v>
      </c>
      <c r="E251" s="2" t="str">
        <f>RIGHT(orders[[#This Row],[Ship Date]],4)</f>
        <v>2016</v>
      </c>
      <c r="F251" s="4" t="s">
        <v>2107</v>
      </c>
      <c r="G251" t="s">
        <v>20</v>
      </c>
      <c r="H251" t="s">
        <v>869</v>
      </c>
      <c r="I251" t="s">
        <v>870</v>
      </c>
      <c r="J251" t="s">
        <v>23</v>
      </c>
      <c r="K251" s="5" t="s">
        <v>1892</v>
      </c>
      <c r="L251" s="5" t="str">
        <f t="shared" si="3"/>
        <v>San Francisco</v>
      </c>
      <c r="M251" t="s">
        <v>37</v>
      </c>
      <c r="N251">
        <v>94109</v>
      </c>
      <c r="O251" t="s">
        <v>38</v>
      </c>
      <c r="P251" t="s">
        <v>871</v>
      </c>
      <c r="Q251" t="s">
        <v>27</v>
      </c>
      <c r="R251" t="s">
        <v>31</v>
      </c>
      <c r="S251" t="s">
        <v>872</v>
      </c>
      <c r="T251">
        <v>321.56799999999998</v>
      </c>
      <c r="U251">
        <v>2</v>
      </c>
      <c r="V251">
        <v>0.2</v>
      </c>
      <c r="W251">
        <v>28.137200000000007</v>
      </c>
    </row>
    <row r="252" spans="1:23" x14ac:dyDescent="0.3">
      <c r="A252">
        <v>251</v>
      </c>
      <c r="B252" t="s">
        <v>873</v>
      </c>
      <c r="C252" s="2">
        <v>42624</v>
      </c>
      <c r="D252" s="2" t="str">
        <f>LEFT(orders[[#This Row],[Ship Date]],FIND("0",F252)-1)</f>
        <v>9</v>
      </c>
      <c r="E252" s="2" t="str">
        <f>RIGHT(orders[[#This Row],[Ship Date]],4)</f>
        <v>2016</v>
      </c>
      <c r="F252" s="4" t="s">
        <v>2108</v>
      </c>
      <c r="G252" t="s">
        <v>44</v>
      </c>
      <c r="H252" t="s">
        <v>874</v>
      </c>
      <c r="I252" t="s">
        <v>875</v>
      </c>
      <c r="J252" t="s">
        <v>23</v>
      </c>
      <c r="K252" s="5" t="s">
        <v>1954</v>
      </c>
      <c r="L252" s="5" t="str">
        <f t="shared" si="3"/>
        <v>San Diego</v>
      </c>
      <c r="M252" t="s">
        <v>37</v>
      </c>
      <c r="N252">
        <v>92037</v>
      </c>
      <c r="O252" t="s">
        <v>38</v>
      </c>
      <c r="P252" t="s">
        <v>876</v>
      </c>
      <c r="Q252" t="s">
        <v>40</v>
      </c>
      <c r="R252" t="s">
        <v>82</v>
      </c>
      <c r="S252" t="s">
        <v>877</v>
      </c>
      <c r="T252">
        <v>7.61</v>
      </c>
      <c r="U252">
        <v>1</v>
      </c>
      <c r="V252">
        <v>0</v>
      </c>
      <c r="W252">
        <v>3.5766999999999998</v>
      </c>
    </row>
    <row r="253" spans="1:23" x14ac:dyDescent="0.3">
      <c r="A253">
        <v>252</v>
      </c>
      <c r="B253" t="s">
        <v>873</v>
      </c>
      <c r="C253" s="2">
        <v>42624</v>
      </c>
      <c r="D253" s="2" t="str">
        <f>LEFT(orders[[#This Row],[Ship Date]],FIND("0",F253)-1)</f>
        <v>9</v>
      </c>
      <c r="E253" s="2" t="str">
        <f>RIGHT(orders[[#This Row],[Ship Date]],4)</f>
        <v>2016</v>
      </c>
      <c r="F253" s="4" t="s">
        <v>2108</v>
      </c>
      <c r="G253" t="s">
        <v>44</v>
      </c>
      <c r="H253" t="s">
        <v>874</v>
      </c>
      <c r="I253" t="s">
        <v>875</v>
      </c>
      <c r="J253" t="s">
        <v>23</v>
      </c>
      <c r="K253" s="5" t="s">
        <v>1954</v>
      </c>
      <c r="L253" s="5" t="str">
        <f t="shared" si="3"/>
        <v>San Diego</v>
      </c>
      <c r="M253" t="s">
        <v>37</v>
      </c>
      <c r="N253">
        <v>92037</v>
      </c>
      <c r="O253" t="s">
        <v>38</v>
      </c>
      <c r="P253" t="s">
        <v>837</v>
      </c>
      <c r="Q253" t="s">
        <v>64</v>
      </c>
      <c r="R253" t="s">
        <v>145</v>
      </c>
      <c r="S253" t="s">
        <v>838</v>
      </c>
      <c r="T253">
        <v>3347.37</v>
      </c>
      <c r="U253">
        <v>13</v>
      </c>
      <c r="V253">
        <v>0</v>
      </c>
      <c r="W253">
        <v>636.0002999999997</v>
      </c>
    </row>
    <row r="254" spans="1:23" x14ac:dyDescent="0.3">
      <c r="A254">
        <v>253</v>
      </c>
      <c r="B254" t="s">
        <v>878</v>
      </c>
      <c r="C254" s="2">
        <v>42714</v>
      </c>
      <c r="D254" s="2" t="str">
        <f>LEFT(orders[[#This Row],[Ship Date]],FIND("0",F254)-1)</f>
        <v>12</v>
      </c>
      <c r="E254" s="2" t="str">
        <f>RIGHT(orders[[#This Row],[Ship Date]],4)</f>
        <v>2016</v>
      </c>
      <c r="F254" s="4" t="s">
        <v>2012</v>
      </c>
      <c r="G254" t="s">
        <v>171</v>
      </c>
      <c r="H254" t="s">
        <v>879</v>
      </c>
      <c r="I254" t="s">
        <v>880</v>
      </c>
      <c r="J254" t="s">
        <v>23</v>
      </c>
      <c r="K254" s="5" t="s">
        <v>1904</v>
      </c>
      <c r="L254" s="5" t="str">
        <f t="shared" si="3"/>
        <v>New York City</v>
      </c>
      <c r="M254" t="s">
        <v>242</v>
      </c>
      <c r="N254">
        <v>10024</v>
      </c>
      <c r="O254" t="s">
        <v>133</v>
      </c>
      <c r="P254" t="s">
        <v>881</v>
      </c>
      <c r="Q254" t="s">
        <v>40</v>
      </c>
      <c r="R254" t="s">
        <v>52</v>
      </c>
      <c r="S254" t="s">
        <v>882</v>
      </c>
      <c r="T254">
        <v>80.58</v>
      </c>
      <c r="U254">
        <v>6</v>
      </c>
      <c r="V254">
        <v>0</v>
      </c>
      <c r="W254">
        <v>22.562400000000004</v>
      </c>
    </row>
    <row r="255" spans="1:23" x14ac:dyDescent="0.3">
      <c r="A255">
        <v>254</v>
      </c>
      <c r="B255" t="s">
        <v>878</v>
      </c>
      <c r="C255" s="2">
        <v>42714</v>
      </c>
      <c r="D255" s="2" t="str">
        <f>LEFT(orders[[#This Row],[Ship Date]],FIND("0",F255)-1)</f>
        <v>12</v>
      </c>
      <c r="E255" s="2" t="str">
        <f>RIGHT(orders[[#This Row],[Ship Date]],4)</f>
        <v>2016</v>
      </c>
      <c r="F255" s="4" t="s">
        <v>2012</v>
      </c>
      <c r="G255" t="s">
        <v>171</v>
      </c>
      <c r="H255" t="s">
        <v>879</v>
      </c>
      <c r="I255" t="s">
        <v>880</v>
      </c>
      <c r="J255" t="s">
        <v>23</v>
      </c>
      <c r="K255" s="5" t="s">
        <v>1904</v>
      </c>
      <c r="L255" s="5" t="str">
        <f t="shared" si="3"/>
        <v>New York City</v>
      </c>
      <c r="M255" t="s">
        <v>242</v>
      </c>
      <c r="N255">
        <v>10024</v>
      </c>
      <c r="O255" t="s">
        <v>133</v>
      </c>
      <c r="P255" t="s">
        <v>883</v>
      </c>
      <c r="Q255" t="s">
        <v>40</v>
      </c>
      <c r="R255" t="s">
        <v>157</v>
      </c>
      <c r="S255" t="s">
        <v>884</v>
      </c>
      <c r="T255">
        <v>361.92</v>
      </c>
      <c r="U255">
        <v>4</v>
      </c>
      <c r="V255">
        <v>0</v>
      </c>
      <c r="W255">
        <v>162.864</v>
      </c>
    </row>
    <row r="256" spans="1:23" x14ac:dyDescent="0.3">
      <c r="A256">
        <v>255</v>
      </c>
      <c r="B256" t="s">
        <v>885</v>
      </c>
      <c r="C256" s="2">
        <v>42336</v>
      </c>
      <c r="D256" s="2" t="str">
        <f>LEFT(orders[[#This Row],[Ship Date]],FIND("0",F256)-1)</f>
        <v>12</v>
      </c>
      <c r="E256" s="2" t="str">
        <f>RIGHT(orders[[#This Row],[Ship Date]],4)</f>
        <v>2015</v>
      </c>
      <c r="F256" s="4" t="s">
        <v>2109</v>
      </c>
      <c r="G256" t="s">
        <v>44</v>
      </c>
      <c r="H256" t="s">
        <v>886</v>
      </c>
      <c r="I256" t="s">
        <v>887</v>
      </c>
      <c r="J256" t="s">
        <v>36</v>
      </c>
      <c r="K256" s="5" t="s">
        <v>1906</v>
      </c>
      <c r="L256" s="5" t="str">
        <f t="shared" si="3"/>
        <v>Chicago</v>
      </c>
      <c r="M256" t="s">
        <v>192</v>
      </c>
      <c r="N256">
        <v>60623</v>
      </c>
      <c r="O256" t="s">
        <v>95</v>
      </c>
      <c r="P256" t="s">
        <v>857</v>
      </c>
      <c r="Q256" t="s">
        <v>27</v>
      </c>
      <c r="R256" t="s">
        <v>58</v>
      </c>
      <c r="S256" t="s">
        <v>858</v>
      </c>
      <c r="T256">
        <v>12.132000000000001</v>
      </c>
      <c r="U256">
        <v>9</v>
      </c>
      <c r="V256">
        <v>0.6</v>
      </c>
      <c r="W256">
        <v>-8.4923999999999982</v>
      </c>
    </row>
    <row r="257" spans="1:23" x14ac:dyDescent="0.3">
      <c r="A257">
        <v>256</v>
      </c>
      <c r="B257" t="s">
        <v>885</v>
      </c>
      <c r="C257" s="2">
        <v>42336</v>
      </c>
      <c r="D257" s="2" t="str">
        <f>LEFT(orders[[#This Row],[Ship Date]],FIND("0",F257)-1)</f>
        <v>12</v>
      </c>
      <c r="E257" s="2" t="str">
        <f>RIGHT(orders[[#This Row],[Ship Date]],4)</f>
        <v>2015</v>
      </c>
      <c r="F257" s="4" t="s">
        <v>2109</v>
      </c>
      <c r="G257" t="s">
        <v>44</v>
      </c>
      <c r="H257" t="s">
        <v>886</v>
      </c>
      <c r="I257" t="s">
        <v>887</v>
      </c>
      <c r="J257" t="s">
        <v>36</v>
      </c>
      <c r="K257" s="5" t="s">
        <v>1906</v>
      </c>
      <c r="L257" s="5" t="str">
        <f t="shared" si="3"/>
        <v>Chicago</v>
      </c>
      <c r="M257" t="s">
        <v>192</v>
      </c>
      <c r="N257">
        <v>60623</v>
      </c>
      <c r="O257" t="s">
        <v>95</v>
      </c>
      <c r="P257" t="s">
        <v>888</v>
      </c>
      <c r="Q257" t="s">
        <v>40</v>
      </c>
      <c r="R257" t="s">
        <v>52</v>
      </c>
      <c r="S257" t="s">
        <v>889</v>
      </c>
      <c r="T257">
        <v>82.367999999999995</v>
      </c>
      <c r="U257">
        <v>2</v>
      </c>
      <c r="V257">
        <v>0.2</v>
      </c>
      <c r="W257">
        <v>-19.562399999999997</v>
      </c>
    </row>
    <row r="258" spans="1:23" x14ac:dyDescent="0.3">
      <c r="A258">
        <v>257</v>
      </c>
      <c r="B258" t="s">
        <v>885</v>
      </c>
      <c r="C258" s="2">
        <v>42336</v>
      </c>
      <c r="D258" s="2" t="str">
        <f>LEFT(orders[[#This Row],[Ship Date]],FIND("0",F258)-1)</f>
        <v>12</v>
      </c>
      <c r="E258" s="2" t="str">
        <f>RIGHT(orders[[#This Row],[Ship Date]],4)</f>
        <v>2015</v>
      </c>
      <c r="F258" s="4" t="s">
        <v>2109</v>
      </c>
      <c r="G258" t="s">
        <v>44</v>
      </c>
      <c r="H258" t="s">
        <v>886</v>
      </c>
      <c r="I258" t="s">
        <v>887</v>
      </c>
      <c r="J258" t="s">
        <v>36</v>
      </c>
      <c r="K258" s="5" t="s">
        <v>1906</v>
      </c>
      <c r="L258" s="5" t="str">
        <f t="shared" ref="L258:L321" si="4">_xlfn.TEXTAFTER(K258,",")</f>
        <v>Chicago</v>
      </c>
      <c r="M258" t="s">
        <v>192</v>
      </c>
      <c r="N258">
        <v>60623</v>
      </c>
      <c r="O258" t="s">
        <v>95</v>
      </c>
      <c r="P258" t="s">
        <v>582</v>
      </c>
      <c r="Q258" t="s">
        <v>40</v>
      </c>
      <c r="R258" t="s">
        <v>52</v>
      </c>
      <c r="S258" t="s">
        <v>583</v>
      </c>
      <c r="T258">
        <v>53.92</v>
      </c>
      <c r="U258">
        <v>5</v>
      </c>
      <c r="V258">
        <v>0.2</v>
      </c>
      <c r="W258">
        <v>4.0439999999999969</v>
      </c>
    </row>
    <row r="259" spans="1:23" x14ac:dyDescent="0.3">
      <c r="A259">
        <v>258</v>
      </c>
      <c r="B259" t="s">
        <v>885</v>
      </c>
      <c r="C259" s="2">
        <v>42336</v>
      </c>
      <c r="D259" s="2" t="str">
        <f>LEFT(orders[[#This Row],[Ship Date]],FIND("0",F259)-1)</f>
        <v>12</v>
      </c>
      <c r="E259" s="2" t="str">
        <f>RIGHT(orders[[#This Row],[Ship Date]],4)</f>
        <v>2015</v>
      </c>
      <c r="F259" s="4" t="s">
        <v>2109</v>
      </c>
      <c r="G259" t="s">
        <v>44</v>
      </c>
      <c r="H259" t="s">
        <v>886</v>
      </c>
      <c r="I259" t="s">
        <v>887</v>
      </c>
      <c r="J259" t="s">
        <v>36</v>
      </c>
      <c r="K259" s="5" t="s">
        <v>1906</v>
      </c>
      <c r="L259" s="5" t="str">
        <f t="shared" si="4"/>
        <v>Chicago</v>
      </c>
      <c r="M259" t="s">
        <v>192</v>
      </c>
      <c r="N259">
        <v>60623</v>
      </c>
      <c r="O259" t="s">
        <v>95</v>
      </c>
      <c r="P259" t="s">
        <v>890</v>
      </c>
      <c r="Q259" t="s">
        <v>64</v>
      </c>
      <c r="R259" t="s">
        <v>65</v>
      </c>
      <c r="S259" t="s">
        <v>891</v>
      </c>
      <c r="T259">
        <v>647.904</v>
      </c>
      <c r="U259">
        <v>6</v>
      </c>
      <c r="V259">
        <v>0.2</v>
      </c>
      <c r="W259">
        <v>56.691599999999966</v>
      </c>
    </row>
    <row r="260" spans="1:23" x14ac:dyDescent="0.3">
      <c r="A260">
        <v>259</v>
      </c>
      <c r="B260" t="s">
        <v>892</v>
      </c>
      <c r="C260" s="2">
        <v>43070</v>
      </c>
      <c r="D260" s="2" t="str">
        <f>LEFT(orders[[#This Row],[Ship Date]],FIND("0",F260)-1)</f>
        <v>12</v>
      </c>
      <c r="E260" s="2" t="str">
        <f>RIGHT(orders[[#This Row],[Ship Date]],4)</f>
        <v>2017</v>
      </c>
      <c r="F260" s="4" t="s">
        <v>2110</v>
      </c>
      <c r="G260" t="s">
        <v>20</v>
      </c>
      <c r="H260" t="s">
        <v>893</v>
      </c>
      <c r="I260" t="s">
        <v>894</v>
      </c>
      <c r="J260" t="s">
        <v>23</v>
      </c>
      <c r="K260" s="5" t="s">
        <v>1904</v>
      </c>
      <c r="L260" s="5" t="str">
        <f t="shared" si="4"/>
        <v>New York City</v>
      </c>
      <c r="M260" t="s">
        <v>242</v>
      </c>
      <c r="N260">
        <v>10009</v>
      </c>
      <c r="O260" t="s">
        <v>133</v>
      </c>
      <c r="P260" t="s">
        <v>895</v>
      </c>
      <c r="Q260" t="s">
        <v>64</v>
      </c>
      <c r="R260" t="s">
        <v>145</v>
      </c>
      <c r="S260" t="s">
        <v>896</v>
      </c>
      <c r="T260">
        <v>20.37</v>
      </c>
      <c r="U260">
        <v>3</v>
      </c>
      <c r="V260">
        <v>0</v>
      </c>
      <c r="W260">
        <v>6.9258000000000006</v>
      </c>
    </row>
    <row r="261" spans="1:23" x14ac:dyDescent="0.3">
      <c r="A261">
        <v>260</v>
      </c>
      <c r="B261" t="s">
        <v>892</v>
      </c>
      <c r="C261" s="2">
        <v>43070</v>
      </c>
      <c r="D261" s="2" t="str">
        <f>LEFT(orders[[#This Row],[Ship Date]],FIND("0",F261)-1)</f>
        <v>12</v>
      </c>
      <c r="E261" s="2" t="str">
        <f>RIGHT(orders[[#This Row],[Ship Date]],4)</f>
        <v>2017</v>
      </c>
      <c r="F261" s="4" t="s">
        <v>2110</v>
      </c>
      <c r="G261" t="s">
        <v>20</v>
      </c>
      <c r="H261" t="s">
        <v>893</v>
      </c>
      <c r="I261" t="s">
        <v>894</v>
      </c>
      <c r="J261" t="s">
        <v>23</v>
      </c>
      <c r="K261" s="5" t="s">
        <v>1904</v>
      </c>
      <c r="L261" s="5" t="str">
        <f t="shared" si="4"/>
        <v>New York City</v>
      </c>
      <c r="M261" t="s">
        <v>242</v>
      </c>
      <c r="N261">
        <v>10009</v>
      </c>
      <c r="O261" t="s">
        <v>133</v>
      </c>
      <c r="P261" t="s">
        <v>897</v>
      </c>
      <c r="Q261" t="s">
        <v>40</v>
      </c>
      <c r="R261" t="s">
        <v>52</v>
      </c>
      <c r="S261" t="s">
        <v>898</v>
      </c>
      <c r="T261">
        <v>221.54999999999998</v>
      </c>
      <c r="U261">
        <v>3</v>
      </c>
      <c r="V261">
        <v>0</v>
      </c>
      <c r="W261">
        <v>6.6465000000000174</v>
      </c>
    </row>
    <row r="262" spans="1:23" x14ac:dyDescent="0.3">
      <c r="A262">
        <v>261</v>
      </c>
      <c r="B262" t="s">
        <v>892</v>
      </c>
      <c r="C262" s="2">
        <v>43070</v>
      </c>
      <c r="D262" s="2" t="str">
        <f>LEFT(orders[[#This Row],[Ship Date]],FIND("0",F262)-1)</f>
        <v>12</v>
      </c>
      <c r="E262" s="2" t="str">
        <f>RIGHT(orders[[#This Row],[Ship Date]],4)</f>
        <v>2017</v>
      </c>
      <c r="F262" s="4" t="s">
        <v>2110</v>
      </c>
      <c r="G262" t="s">
        <v>20</v>
      </c>
      <c r="H262" t="s">
        <v>893</v>
      </c>
      <c r="I262" t="s">
        <v>894</v>
      </c>
      <c r="J262" t="s">
        <v>23</v>
      </c>
      <c r="K262" s="5" t="s">
        <v>1904</v>
      </c>
      <c r="L262" s="5" t="str">
        <f t="shared" si="4"/>
        <v>New York City</v>
      </c>
      <c r="M262" t="s">
        <v>242</v>
      </c>
      <c r="N262">
        <v>10009</v>
      </c>
      <c r="O262" t="s">
        <v>133</v>
      </c>
      <c r="P262" t="s">
        <v>899</v>
      </c>
      <c r="Q262" t="s">
        <v>40</v>
      </c>
      <c r="R262" t="s">
        <v>68</v>
      </c>
      <c r="S262" t="s">
        <v>900</v>
      </c>
      <c r="T262">
        <v>17.52</v>
      </c>
      <c r="U262">
        <v>5</v>
      </c>
      <c r="V262">
        <v>0.2</v>
      </c>
      <c r="W262">
        <v>6.1319999999999988</v>
      </c>
    </row>
    <row r="263" spans="1:23" x14ac:dyDescent="0.3">
      <c r="A263">
        <v>262</v>
      </c>
      <c r="B263" t="s">
        <v>901</v>
      </c>
      <c r="C263" s="2">
        <v>42894</v>
      </c>
      <c r="D263" s="2" t="str">
        <f>LEFT(orders[[#This Row],[Ship Date]],FIND("0",F263)-1)</f>
        <v>6</v>
      </c>
      <c r="E263" s="2" t="str">
        <f>RIGHT(orders[[#This Row],[Ship Date]],4)</f>
        <v>2017</v>
      </c>
      <c r="F263" s="4" t="s">
        <v>2111</v>
      </c>
      <c r="G263" t="s">
        <v>44</v>
      </c>
      <c r="H263" t="s">
        <v>902</v>
      </c>
      <c r="I263" t="s">
        <v>903</v>
      </c>
      <c r="J263" t="s">
        <v>36</v>
      </c>
      <c r="K263" s="5" t="s">
        <v>1929</v>
      </c>
      <c r="L263" s="5" t="str">
        <f t="shared" si="4"/>
        <v>Pasadena</v>
      </c>
      <c r="M263" t="s">
        <v>94</v>
      </c>
      <c r="N263">
        <v>77506</v>
      </c>
      <c r="O263" t="s">
        <v>95</v>
      </c>
      <c r="P263" t="s">
        <v>904</v>
      </c>
      <c r="Q263" t="s">
        <v>40</v>
      </c>
      <c r="R263" t="s">
        <v>71</v>
      </c>
      <c r="S263" t="s">
        <v>905</v>
      </c>
      <c r="T263">
        <v>1.6239999999999994</v>
      </c>
      <c r="U263">
        <v>2</v>
      </c>
      <c r="V263">
        <v>0.8</v>
      </c>
      <c r="W263">
        <v>-4.4660000000000002</v>
      </c>
    </row>
    <row r="264" spans="1:23" x14ac:dyDescent="0.3">
      <c r="A264">
        <v>263</v>
      </c>
      <c r="B264" t="s">
        <v>906</v>
      </c>
      <c r="C264" s="2">
        <v>41901</v>
      </c>
      <c r="D264" s="2" t="str">
        <f>LEFT(orders[[#This Row],[Ship Date]],FIND("0",F264)-1)</f>
        <v>9</v>
      </c>
      <c r="E264" s="2" t="str">
        <f>RIGHT(orders[[#This Row],[Ship Date]],4)</f>
        <v>2014</v>
      </c>
      <c r="F264" s="4" t="s">
        <v>2112</v>
      </c>
      <c r="G264" t="s">
        <v>20</v>
      </c>
      <c r="H264" t="s">
        <v>907</v>
      </c>
      <c r="I264" t="s">
        <v>908</v>
      </c>
      <c r="J264" t="s">
        <v>36</v>
      </c>
      <c r="K264" s="5" t="s">
        <v>1896</v>
      </c>
      <c r="L264" s="5" t="str">
        <f t="shared" si="4"/>
        <v>Houston</v>
      </c>
      <c r="M264" t="s">
        <v>94</v>
      </c>
      <c r="N264">
        <v>77036</v>
      </c>
      <c r="O264" t="s">
        <v>95</v>
      </c>
      <c r="P264" t="s">
        <v>626</v>
      </c>
      <c r="Q264" t="s">
        <v>64</v>
      </c>
      <c r="R264" t="s">
        <v>627</v>
      </c>
      <c r="S264" t="s">
        <v>628</v>
      </c>
      <c r="T264">
        <v>3059.982</v>
      </c>
      <c r="U264">
        <v>3</v>
      </c>
      <c r="V264">
        <v>0.4</v>
      </c>
      <c r="W264">
        <v>-509.99700000000075</v>
      </c>
    </row>
    <row r="265" spans="1:23" x14ac:dyDescent="0.3">
      <c r="A265">
        <v>264</v>
      </c>
      <c r="B265" t="s">
        <v>906</v>
      </c>
      <c r="C265" s="2">
        <v>41901</v>
      </c>
      <c r="D265" s="2" t="str">
        <f>LEFT(orders[[#This Row],[Ship Date]],FIND("0",F265)-1)</f>
        <v>9</v>
      </c>
      <c r="E265" s="2" t="str">
        <f>RIGHT(orders[[#This Row],[Ship Date]],4)</f>
        <v>2014</v>
      </c>
      <c r="F265" s="4" t="s">
        <v>2112</v>
      </c>
      <c r="G265" t="s">
        <v>20</v>
      </c>
      <c r="H265" t="s">
        <v>907</v>
      </c>
      <c r="I265" t="s">
        <v>908</v>
      </c>
      <c r="J265" t="s">
        <v>36</v>
      </c>
      <c r="K265" s="5" t="s">
        <v>1896</v>
      </c>
      <c r="L265" s="5" t="str">
        <f t="shared" si="4"/>
        <v>Houston</v>
      </c>
      <c r="M265" t="s">
        <v>94</v>
      </c>
      <c r="N265">
        <v>77036</v>
      </c>
      <c r="O265" t="s">
        <v>95</v>
      </c>
      <c r="P265" t="s">
        <v>909</v>
      </c>
      <c r="Q265" t="s">
        <v>64</v>
      </c>
      <c r="R265" t="s">
        <v>627</v>
      </c>
      <c r="S265" t="s">
        <v>910</v>
      </c>
      <c r="T265">
        <v>2519.9579999999996</v>
      </c>
      <c r="U265">
        <v>7</v>
      </c>
      <c r="V265">
        <v>0.4</v>
      </c>
      <c r="W265">
        <v>-251.99579999999992</v>
      </c>
    </row>
    <row r="266" spans="1:23" x14ac:dyDescent="0.3">
      <c r="A266">
        <v>265</v>
      </c>
      <c r="B266" t="s">
        <v>911</v>
      </c>
      <c r="C266" s="2">
        <v>42527</v>
      </c>
      <c r="D266" s="2" t="str">
        <f>LEFT(orders[[#This Row],[Ship Date]],FIND("0",F266)-1)</f>
        <v>6</v>
      </c>
      <c r="E266" s="2" t="str">
        <f>RIGHT(orders[[#This Row],[Ship Date]],4)</f>
        <v>2016</v>
      </c>
      <c r="F266" s="4" t="s">
        <v>2113</v>
      </c>
      <c r="G266" t="s">
        <v>44</v>
      </c>
      <c r="H266" t="s">
        <v>912</v>
      </c>
      <c r="I266" t="s">
        <v>913</v>
      </c>
      <c r="J266" t="s">
        <v>23</v>
      </c>
      <c r="K266" s="5" t="s">
        <v>1906</v>
      </c>
      <c r="L266" s="5" t="str">
        <f t="shared" si="4"/>
        <v>Chicago</v>
      </c>
      <c r="M266" t="s">
        <v>192</v>
      </c>
      <c r="N266">
        <v>60610</v>
      </c>
      <c r="O266" t="s">
        <v>95</v>
      </c>
      <c r="P266" t="s">
        <v>914</v>
      </c>
      <c r="Q266" t="s">
        <v>64</v>
      </c>
      <c r="R266" t="s">
        <v>65</v>
      </c>
      <c r="S266" t="s">
        <v>915</v>
      </c>
      <c r="T266">
        <v>328.22399999999999</v>
      </c>
      <c r="U266">
        <v>4</v>
      </c>
      <c r="V266">
        <v>0.2</v>
      </c>
      <c r="W266">
        <v>28.7196</v>
      </c>
    </row>
    <row r="267" spans="1:23" x14ac:dyDescent="0.3">
      <c r="A267">
        <v>266</v>
      </c>
      <c r="B267" t="s">
        <v>916</v>
      </c>
      <c r="C267" s="2">
        <v>42318</v>
      </c>
      <c r="D267" s="2" t="str">
        <f>LEFT(orders[[#This Row],[Ship Date]],FIND("0",F267)-1)</f>
        <v>11</v>
      </c>
      <c r="E267" s="2" t="str">
        <f>RIGHT(orders[[#This Row],[Ship Date]],4)</f>
        <v>2015</v>
      </c>
      <c r="F267" s="4" t="s">
        <v>2114</v>
      </c>
      <c r="G267" t="s">
        <v>44</v>
      </c>
      <c r="H267" t="s">
        <v>917</v>
      </c>
      <c r="I267" t="s">
        <v>918</v>
      </c>
      <c r="J267" t="s">
        <v>23</v>
      </c>
      <c r="K267" s="5" t="s">
        <v>1955</v>
      </c>
      <c r="L267" s="5" t="str">
        <f t="shared" si="4"/>
        <v>Brentwood</v>
      </c>
      <c r="M267" t="s">
        <v>37</v>
      </c>
      <c r="N267">
        <v>94513</v>
      </c>
      <c r="O267" t="s">
        <v>38</v>
      </c>
      <c r="P267" t="s">
        <v>919</v>
      </c>
      <c r="Q267" t="s">
        <v>64</v>
      </c>
      <c r="R267" t="s">
        <v>145</v>
      </c>
      <c r="S267" t="s">
        <v>920</v>
      </c>
      <c r="T267">
        <v>79.900000000000006</v>
      </c>
      <c r="U267">
        <v>2</v>
      </c>
      <c r="V267">
        <v>0</v>
      </c>
      <c r="W267">
        <v>35.156000000000006</v>
      </c>
    </row>
    <row r="268" spans="1:23" x14ac:dyDescent="0.3">
      <c r="A268">
        <v>267</v>
      </c>
      <c r="B268" t="s">
        <v>921</v>
      </c>
      <c r="C268" s="2">
        <v>42902</v>
      </c>
      <c r="D268" s="2" t="str">
        <f>LEFT(orders[[#This Row],[Ship Date]],FIND("0",F268)-1)</f>
        <v>6</v>
      </c>
      <c r="E268" s="2" t="str">
        <f>RIGHT(orders[[#This Row],[Ship Date]],4)</f>
        <v>2017</v>
      </c>
      <c r="F268" s="4" t="s">
        <v>2048</v>
      </c>
      <c r="G268" t="s">
        <v>44</v>
      </c>
      <c r="H268" t="s">
        <v>922</v>
      </c>
      <c r="I268" t="s">
        <v>923</v>
      </c>
      <c r="J268" t="s">
        <v>36</v>
      </c>
      <c r="K268" s="5" t="s">
        <v>1956</v>
      </c>
      <c r="L268" s="5" t="str">
        <f t="shared" si="4"/>
        <v>Chapel Hill</v>
      </c>
      <c r="M268" t="s">
        <v>80</v>
      </c>
      <c r="N268">
        <v>27514</v>
      </c>
      <c r="O268" t="s">
        <v>25</v>
      </c>
      <c r="P268" t="s">
        <v>924</v>
      </c>
      <c r="Q268" t="s">
        <v>40</v>
      </c>
      <c r="R268" t="s">
        <v>61</v>
      </c>
      <c r="S268" t="s">
        <v>925</v>
      </c>
      <c r="T268">
        <v>14.015999999999998</v>
      </c>
      <c r="U268">
        <v>3</v>
      </c>
      <c r="V268">
        <v>0.2</v>
      </c>
      <c r="W268">
        <v>4.7303999999999995</v>
      </c>
    </row>
    <row r="269" spans="1:23" x14ac:dyDescent="0.3">
      <c r="A269">
        <v>268</v>
      </c>
      <c r="B269" t="s">
        <v>926</v>
      </c>
      <c r="C269" s="2">
        <v>42391</v>
      </c>
      <c r="D269" s="2" t="str">
        <f>LEFT(orders[[#This Row],[Ship Date]],FIND("0",F269)-1)</f>
        <v>1</v>
      </c>
      <c r="E269" s="2" t="str">
        <f>RIGHT(orders[[#This Row],[Ship Date]],4)</f>
        <v>2016</v>
      </c>
      <c r="F269" s="4" t="s">
        <v>2115</v>
      </c>
      <c r="G269" t="s">
        <v>44</v>
      </c>
      <c r="H269" t="s">
        <v>353</v>
      </c>
      <c r="I269" t="s">
        <v>354</v>
      </c>
      <c r="J269" t="s">
        <v>23</v>
      </c>
      <c r="K269" s="5" t="s">
        <v>1957</v>
      </c>
      <c r="L269" s="5" t="str">
        <f t="shared" si="4"/>
        <v>Morristown</v>
      </c>
      <c r="M269" t="s">
        <v>727</v>
      </c>
      <c r="N269">
        <v>7960</v>
      </c>
      <c r="O269" t="s">
        <v>133</v>
      </c>
      <c r="P269" t="s">
        <v>927</v>
      </c>
      <c r="Q269" t="s">
        <v>40</v>
      </c>
      <c r="R269" t="s">
        <v>244</v>
      </c>
      <c r="S269" t="s">
        <v>928</v>
      </c>
      <c r="T269">
        <v>7.5600000000000005</v>
      </c>
      <c r="U269">
        <v>6</v>
      </c>
      <c r="V269">
        <v>0</v>
      </c>
      <c r="W269">
        <v>0.3024</v>
      </c>
    </row>
    <row r="270" spans="1:23" x14ac:dyDescent="0.3">
      <c r="A270">
        <v>269</v>
      </c>
      <c r="B270" t="s">
        <v>929</v>
      </c>
      <c r="C270" s="2">
        <v>43078</v>
      </c>
      <c r="D270" s="2" t="str">
        <f>LEFT(orders[[#This Row],[Ship Date]],FIND("0",F270)-1)</f>
        <v>12</v>
      </c>
      <c r="E270" s="2" t="str">
        <f>RIGHT(orders[[#This Row],[Ship Date]],4)</f>
        <v>2017</v>
      </c>
      <c r="F270" s="4" t="s">
        <v>2116</v>
      </c>
      <c r="G270" t="s">
        <v>44</v>
      </c>
      <c r="H270" t="s">
        <v>930</v>
      </c>
      <c r="I270" t="s">
        <v>931</v>
      </c>
      <c r="J270" t="s">
        <v>36</v>
      </c>
      <c r="K270" s="5" t="s">
        <v>1958</v>
      </c>
      <c r="L270" s="5" t="str">
        <f t="shared" si="4"/>
        <v>Cincinnati</v>
      </c>
      <c r="M270" t="s">
        <v>455</v>
      </c>
      <c r="N270">
        <v>45231</v>
      </c>
      <c r="O270" t="s">
        <v>133</v>
      </c>
      <c r="P270" t="s">
        <v>932</v>
      </c>
      <c r="Q270" t="s">
        <v>40</v>
      </c>
      <c r="R270" t="s">
        <v>52</v>
      </c>
      <c r="S270" t="s">
        <v>933</v>
      </c>
      <c r="T270">
        <v>37.207999999999998</v>
      </c>
      <c r="U270">
        <v>1</v>
      </c>
      <c r="V270">
        <v>0.2</v>
      </c>
      <c r="W270">
        <v>-7.4416000000000011</v>
      </c>
    </row>
    <row r="271" spans="1:23" x14ac:dyDescent="0.3">
      <c r="A271">
        <v>270</v>
      </c>
      <c r="B271" t="s">
        <v>929</v>
      </c>
      <c r="C271" s="2">
        <v>43078</v>
      </c>
      <c r="D271" s="2" t="str">
        <f>LEFT(orders[[#This Row],[Ship Date]],FIND("0",F271)-1)</f>
        <v>12</v>
      </c>
      <c r="E271" s="2" t="str">
        <f>RIGHT(orders[[#This Row],[Ship Date]],4)</f>
        <v>2017</v>
      </c>
      <c r="F271" s="4" t="s">
        <v>2116</v>
      </c>
      <c r="G271" t="s">
        <v>44</v>
      </c>
      <c r="H271" t="s">
        <v>930</v>
      </c>
      <c r="I271" t="s">
        <v>931</v>
      </c>
      <c r="J271" t="s">
        <v>36</v>
      </c>
      <c r="K271" s="5" t="s">
        <v>1958</v>
      </c>
      <c r="L271" s="5" t="str">
        <f t="shared" si="4"/>
        <v>Cincinnati</v>
      </c>
      <c r="M271" t="s">
        <v>455</v>
      </c>
      <c r="N271">
        <v>45231</v>
      </c>
      <c r="O271" t="s">
        <v>133</v>
      </c>
      <c r="P271" t="s">
        <v>934</v>
      </c>
      <c r="Q271" t="s">
        <v>40</v>
      </c>
      <c r="R271" t="s">
        <v>157</v>
      </c>
      <c r="S271" t="s">
        <v>935</v>
      </c>
      <c r="T271">
        <v>57.576000000000001</v>
      </c>
      <c r="U271">
        <v>3</v>
      </c>
      <c r="V271">
        <v>0.2</v>
      </c>
      <c r="W271">
        <v>21.591000000000001</v>
      </c>
    </row>
    <row r="272" spans="1:23" x14ac:dyDescent="0.3">
      <c r="A272">
        <v>271</v>
      </c>
      <c r="B272" t="s">
        <v>936</v>
      </c>
      <c r="C272" s="2">
        <v>43097</v>
      </c>
      <c r="D272" s="2" t="str">
        <f>LEFT(orders[[#This Row],[Ship Date]],FIND("0",F272)-1)</f>
        <v>1</v>
      </c>
      <c r="E272" s="2" t="str">
        <f>RIGHT(orders[[#This Row],[Ship Date]],4)</f>
        <v>2018</v>
      </c>
      <c r="F272" s="4" t="s">
        <v>2117</v>
      </c>
      <c r="G272" t="s">
        <v>20</v>
      </c>
      <c r="H272" t="s">
        <v>937</v>
      </c>
      <c r="I272" t="s">
        <v>938</v>
      </c>
      <c r="J272" t="s">
        <v>36</v>
      </c>
      <c r="K272" s="5" t="s">
        <v>1892</v>
      </c>
      <c r="L272" s="5" t="str">
        <f t="shared" si="4"/>
        <v>San Francisco</v>
      </c>
      <c r="M272" t="s">
        <v>37</v>
      </c>
      <c r="N272">
        <v>94110</v>
      </c>
      <c r="O272" t="s">
        <v>38</v>
      </c>
      <c r="P272" t="s">
        <v>939</v>
      </c>
      <c r="Q272" t="s">
        <v>40</v>
      </c>
      <c r="R272" t="s">
        <v>52</v>
      </c>
      <c r="S272" t="s">
        <v>940</v>
      </c>
      <c r="T272">
        <v>725.84</v>
      </c>
      <c r="U272">
        <v>4</v>
      </c>
      <c r="V272">
        <v>0</v>
      </c>
      <c r="W272">
        <v>210.4935999999999</v>
      </c>
    </row>
    <row r="273" spans="1:23" x14ac:dyDescent="0.3">
      <c r="A273">
        <v>272</v>
      </c>
      <c r="B273" t="s">
        <v>941</v>
      </c>
      <c r="C273" s="2">
        <v>42215</v>
      </c>
      <c r="D273" s="2" t="str">
        <f>LEFT(orders[[#This Row],[Ship Date]],FIND("0",F273)-1)</f>
        <v>7</v>
      </c>
      <c r="E273" s="2" t="str">
        <f>RIGHT(orders[[#This Row],[Ship Date]],4)</f>
        <v>2015</v>
      </c>
      <c r="F273" s="4" t="s">
        <v>2118</v>
      </c>
      <c r="G273" t="s">
        <v>171</v>
      </c>
      <c r="H273" t="s">
        <v>552</v>
      </c>
      <c r="I273" t="s">
        <v>553</v>
      </c>
      <c r="J273" t="s">
        <v>23</v>
      </c>
      <c r="K273" s="5" t="s">
        <v>1892</v>
      </c>
      <c r="L273" s="5" t="str">
        <f t="shared" si="4"/>
        <v>San Francisco</v>
      </c>
      <c r="M273" t="s">
        <v>37</v>
      </c>
      <c r="N273">
        <v>94109</v>
      </c>
      <c r="O273" t="s">
        <v>38</v>
      </c>
      <c r="P273" t="s">
        <v>942</v>
      </c>
      <c r="Q273" t="s">
        <v>64</v>
      </c>
      <c r="R273" t="s">
        <v>145</v>
      </c>
      <c r="S273" t="s">
        <v>943</v>
      </c>
      <c r="T273">
        <v>209.92999999999998</v>
      </c>
      <c r="U273">
        <v>7</v>
      </c>
      <c r="V273">
        <v>0</v>
      </c>
      <c r="W273">
        <v>92.369200000000021</v>
      </c>
    </row>
    <row r="274" spans="1:23" x14ac:dyDescent="0.3">
      <c r="A274">
        <v>273</v>
      </c>
      <c r="B274" t="s">
        <v>941</v>
      </c>
      <c r="C274" s="2">
        <v>42215</v>
      </c>
      <c r="D274" s="2" t="str">
        <f>LEFT(orders[[#This Row],[Ship Date]],FIND("0",F274)-1)</f>
        <v>7</v>
      </c>
      <c r="E274" s="2" t="str">
        <f>RIGHT(orders[[#This Row],[Ship Date]],4)</f>
        <v>2015</v>
      </c>
      <c r="F274" s="4" t="s">
        <v>2118</v>
      </c>
      <c r="G274" t="s">
        <v>171</v>
      </c>
      <c r="H274" t="s">
        <v>552</v>
      </c>
      <c r="I274" t="s">
        <v>553</v>
      </c>
      <c r="J274" t="s">
        <v>23</v>
      </c>
      <c r="K274" s="5" t="s">
        <v>1892</v>
      </c>
      <c r="L274" s="5" t="str">
        <f t="shared" si="4"/>
        <v>San Francisco</v>
      </c>
      <c r="M274" t="s">
        <v>37</v>
      </c>
      <c r="N274">
        <v>94109</v>
      </c>
      <c r="O274" t="s">
        <v>38</v>
      </c>
      <c r="P274" t="s">
        <v>944</v>
      </c>
      <c r="Q274" t="s">
        <v>27</v>
      </c>
      <c r="R274" t="s">
        <v>58</v>
      </c>
      <c r="S274" t="s">
        <v>945</v>
      </c>
      <c r="T274">
        <v>5.28</v>
      </c>
      <c r="U274">
        <v>3</v>
      </c>
      <c r="V274">
        <v>0</v>
      </c>
      <c r="W274">
        <v>2.3232000000000004</v>
      </c>
    </row>
    <row r="275" spans="1:23" x14ac:dyDescent="0.3">
      <c r="A275">
        <v>274</v>
      </c>
      <c r="B275" t="s">
        <v>941</v>
      </c>
      <c r="C275" s="2">
        <v>42215</v>
      </c>
      <c r="D275" s="2" t="str">
        <f>LEFT(orders[[#This Row],[Ship Date]],FIND("0",F275)-1)</f>
        <v>7</v>
      </c>
      <c r="E275" s="2" t="str">
        <f>RIGHT(orders[[#This Row],[Ship Date]],4)</f>
        <v>2015</v>
      </c>
      <c r="F275" s="4" t="s">
        <v>2118</v>
      </c>
      <c r="G275" t="s">
        <v>171</v>
      </c>
      <c r="H275" t="s">
        <v>552</v>
      </c>
      <c r="I275" t="s">
        <v>553</v>
      </c>
      <c r="J275" t="s">
        <v>23</v>
      </c>
      <c r="K275" s="5" t="s">
        <v>1892</v>
      </c>
      <c r="L275" s="5" t="str">
        <f t="shared" si="4"/>
        <v>San Francisco</v>
      </c>
      <c r="M275" t="s">
        <v>37</v>
      </c>
      <c r="N275">
        <v>94109</v>
      </c>
      <c r="O275" t="s">
        <v>38</v>
      </c>
      <c r="P275" t="s">
        <v>946</v>
      </c>
      <c r="Q275" t="s">
        <v>40</v>
      </c>
      <c r="R275" t="s">
        <v>68</v>
      </c>
      <c r="S275" t="s">
        <v>947</v>
      </c>
      <c r="T275">
        <v>10.92</v>
      </c>
      <c r="U275">
        <v>3</v>
      </c>
      <c r="V275">
        <v>0.2</v>
      </c>
      <c r="W275">
        <v>4.0949999999999989</v>
      </c>
    </row>
    <row r="276" spans="1:23" x14ac:dyDescent="0.3">
      <c r="A276">
        <v>275</v>
      </c>
      <c r="B276" t="s">
        <v>948</v>
      </c>
      <c r="C276" s="2">
        <v>42994</v>
      </c>
      <c r="D276" s="2" t="str">
        <f>LEFT(orders[[#This Row],[Ship Date]],FIND("0",F276)-1)</f>
        <v>9</v>
      </c>
      <c r="E276" s="2" t="str">
        <f>RIGHT(orders[[#This Row],[Ship Date]],4)</f>
        <v>2017</v>
      </c>
      <c r="F276" s="4" t="s">
        <v>2033</v>
      </c>
      <c r="G276" t="s">
        <v>171</v>
      </c>
      <c r="H276" t="s">
        <v>949</v>
      </c>
      <c r="I276" t="s">
        <v>950</v>
      </c>
      <c r="J276" t="s">
        <v>36</v>
      </c>
      <c r="K276" s="5" t="s">
        <v>1959</v>
      </c>
      <c r="L276" s="5" t="str">
        <f t="shared" si="4"/>
        <v>Inglewood</v>
      </c>
      <c r="M276" t="s">
        <v>37</v>
      </c>
      <c r="N276">
        <v>90301</v>
      </c>
      <c r="O276" t="s">
        <v>38</v>
      </c>
      <c r="P276" t="s">
        <v>951</v>
      </c>
      <c r="Q276" t="s">
        <v>40</v>
      </c>
      <c r="R276" t="s">
        <v>82</v>
      </c>
      <c r="S276" t="s">
        <v>952</v>
      </c>
      <c r="T276">
        <v>8.82</v>
      </c>
      <c r="U276">
        <v>2</v>
      </c>
      <c r="V276">
        <v>0</v>
      </c>
      <c r="W276">
        <v>4.0571999999999999</v>
      </c>
    </row>
    <row r="277" spans="1:23" x14ac:dyDescent="0.3">
      <c r="A277">
        <v>276</v>
      </c>
      <c r="B277" t="s">
        <v>948</v>
      </c>
      <c r="C277" s="2">
        <v>42994</v>
      </c>
      <c r="D277" s="2" t="str">
        <f>LEFT(orders[[#This Row],[Ship Date]],FIND("0",F277)-1)</f>
        <v>9</v>
      </c>
      <c r="E277" s="2" t="str">
        <f>RIGHT(orders[[#This Row],[Ship Date]],4)</f>
        <v>2017</v>
      </c>
      <c r="F277" s="4" t="s">
        <v>2033</v>
      </c>
      <c r="G277" t="s">
        <v>171</v>
      </c>
      <c r="H277" t="s">
        <v>949</v>
      </c>
      <c r="I277" t="s">
        <v>950</v>
      </c>
      <c r="J277" t="s">
        <v>36</v>
      </c>
      <c r="K277" s="5" t="s">
        <v>1959</v>
      </c>
      <c r="L277" s="5" t="str">
        <f t="shared" si="4"/>
        <v>Inglewood</v>
      </c>
      <c r="M277" t="s">
        <v>37</v>
      </c>
      <c r="N277">
        <v>90301</v>
      </c>
      <c r="O277" t="s">
        <v>38</v>
      </c>
      <c r="P277" t="s">
        <v>953</v>
      </c>
      <c r="Q277" t="s">
        <v>40</v>
      </c>
      <c r="R277" t="s">
        <v>61</v>
      </c>
      <c r="S277" t="s">
        <v>954</v>
      </c>
      <c r="T277">
        <v>5.98</v>
      </c>
      <c r="U277">
        <v>1</v>
      </c>
      <c r="V277">
        <v>0</v>
      </c>
      <c r="W277">
        <v>1.5548000000000002</v>
      </c>
    </row>
    <row r="278" spans="1:23" x14ac:dyDescent="0.3">
      <c r="A278">
        <v>277</v>
      </c>
      <c r="B278" t="s">
        <v>955</v>
      </c>
      <c r="C278" s="2">
        <v>43021</v>
      </c>
      <c r="D278" s="2" t="str">
        <f>LEFT(orders[[#This Row],[Ship Date]],FIND("0",F278)-1)</f>
        <v>1</v>
      </c>
      <c r="E278" s="2" t="str">
        <f>RIGHT(orders[[#This Row],[Ship Date]],4)</f>
        <v>2017</v>
      </c>
      <c r="F278" s="4" t="s">
        <v>2119</v>
      </c>
      <c r="G278" t="s">
        <v>44</v>
      </c>
      <c r="H278" t="s">
        <v>956</v>
      </c>
      <c r="I278" t="s">
        <v>957</v>
      </c>
      <c r="J278" t="s">
        <v>36</v>
      </c>
      <c r="K278" s="5" t="s">
        <v>1894</v>
      </c>
      <c r="L278" s="5" t="str">
        <f t="shared" si="4"/>
        <v>Philadelphia</v>
      </c>
      <c r="M278" t="s">
        <v>132</v>
      </c>
      <c r="N278">
        <v>19140</v>
      </c>
      <c r="O278" t="s">
        <v>133</v>
      </c>
      <c r="P278" t="s">
        <v>958</v>
      </c>
      <c r="Q278" t="s">
        <v>40</v>
      </c>
      <c r="R278" t="s">
        <v>82</v>
      </c>
      <c r="S278" t="s">
        <v>959</v>
      </c>
      <c r="T278">
        <v>11.648000000000001</v>
      </c>
      <c r="U278">
        <v>2</v>
      </c>
      <c r="V278">
        <v>0.2</v>
      </c>
      <c r="W278">
        <v>4.0768000000000004</v>
      </c>
    </row>
    <row r="279" spans="1:23" x14ac:dyDescent="0.3">
      <c r="A279">
        <v>278</v>
      </c>
      <c r="B279" t="s">
        <v>955</v>
      </c>
      <c r="C279" s="2">
        <v>43021</v>
      </c>
      <c r="D279" s="2" t="str">
        <f>LEFT(orders[[#This Row],[Ship Date]],FIND("0",F279)-1)</f>
        <v>1</v>
      </c>
      <c r="E279" s="2" t="str">
        <f>RIGHT(orders[[#This Row],[Ship Date]],4)</f>
        <v>2017</v>
      </c>
      <c r="F279" s="4" t="s">
        <v>2119</v>
      </c>
      <c r="G279" t="s">
        <v>44</v>
      </c>
      <c r="H279" t="s">
        <v>956</v>
      </c>
      <c r="I279" t="s">
        <v>957</v>
      </c>
      <c r="J279" t="s">
        <v>36</v>
      </c>
      <c r="K279" s="5" t="s">
        <v>1894</v>
      </c>
      <c r="L279" s="5" t="str">
        <f t="shared" si="4"/>
        <v>Philadelphia</v>
      </c>
      <c r="M279" t="s">
        <v>132</v>
      </c>
      <c r="N279">
        <v>19140</v>
      </c>
      <c r="O279" t="s">
        <v>133</v>
      </c>
      <c r="P279" t="s">
        <v>960</v>
      </c>
      <c r="Q279" t="s">
        <v>40</v>
      </c>
      <c r="R279" t="s">
        <v>82</v>
      </c>
      <c r="S279" t="s">
        <v>961</v>
      </c>
      <c r="T279">
        <v>18.175999999999998</v>
      </c>
      <c r="U279">
        <v>4</v>
      </c>
      <c r="V279">
        <v>0.2</v>
      </c>
      <c r="W279">
        <v>5.9071999999999987</v>
      </c>
    </row>
    <row r="280" spans="1:23" x14ac:dyDescent="0.3">
      <c r="A280">
        <v>279</v>
      </c>
      <c r="B280" t="s">
        <v>955</v>
      </c>
      <c r="C280" s="2">
        <v>43021</v>
      </c>
      <c r="D280" s="2" t="str">
        <f>LEFT(orders[[#This Row],[Ship Date]],FIND("0",F280)-1)</f>
        <v>1</v>
      </c>
      <c r="E280" s="2" t="str">
        <f>RIGHT(orders[[#This Row],[Ship Date]],4)</f>
        <v>2017</v>
      </c>
      <c r="F280" s="4" t="s">
        <v>2119</v>
      </c>
      <c r="G280" t="s">
        <v>44</v>
      </c>
      <c r="H280" t="s">
        <v>956</v>
      </c>
      <c r="I280" t="s">
        <v>957</v>
      </c>
      <c r="J280" t="s">
        <v>36</v>
      </c>
      <c r="K280" s="5" t="s">
        <v>1894</v>
      </c>
      <c r="L280" s="5" t="str">
        <f t="shared" si="4"/>
        <v>Philadelphia</v>
      </c>
      <c r="M280" t="s">
        <v>132</v>
      </c>
      <c r="N280">
        <v>19140</v>
      </c>
      <c r="O280" t="s">
        <v>133</v>
      </c>
      <c r="P280" t="s">
        <v>962</v>
      </c>
      <c r="Q280" t="s">
        <v>40</v>
      </c>
      <c r="R280" t="s">
        <v>52</v>
      </c>
      <c r="S280" t="s">
        <v>963</v>
      </c>
      <c r="T280">
        <v>59.712000000000003</v>
      </c>
      <c r="U280">
        <v>6</v>
      </c>
      <c r="V280">
        <v>0.2</v>
      </c>
      <c r="W280">
        <v>5.9711999999999996</v>
      </c>
    </row>
    <row r="281" spans="1:23" x14ac:dyDescent="0.3">
      <c r="A281">
        <v>280</v>
      </c>
      <c r="B281" t="s">
        <v>955</v>
      </c>
      <c r="C281" s="2">
        <v>43021</v>
      </c>
      <c r="D281" s="2" t="str">
        <f>LEFT(orders[[#This Row],[Ship Date]],FIND("0",F281)-1)</f>
        <v>1</v>
      </c>
      <c r="E281" s="2" t="str">
        <f>RIGHT(orders[[#This Row],[Ship Date]],4)</f>
        <v>2017</v>
      </c>
      <c r="F281" s="4" t="s">
        <v>2119</v>
      </c>
      <c r="G281" t="s">
        <v>44</v>
      </c>
      <c r="H281" t="s">
        <v>956</v>
      </c>
      <c r="I281" t="s">
        <v>957</v>
      </c>
      <c r="J281" t="s">
        <v>36</v>
      </c>
      <c r="K281" s="5" t="s">
        <v>1894</v>
      </c>
      <c r="L281" s="5" t="str">
        <f t="shared" si="4"/>
        <v>Philadelphia</v>
      </c>
      <c r="M281" t="s">
        <v>132</v>
      </c>
      <c r="N281">
        <v>19140</v>
      </c>
      <c r="O281" t="s">
        <v>133</v>
      </c>
      <c r="P281" t="s">
        <v>964</v>
      </c>
      <c r="Q281" t="s">
        <v>40</v>
      </c>
      <c r="R281" t="s">
        <v>41</v>
      </c>
      <c r="S281" t="s">
        <v>965</v>
      </c>
      <c r="T281">
        <v>24.839999999999996</v>
      </c>
      <c r="U281">
        <v>3</v>
      </c>
      <c r="V281">
        <v>0.2</v>
      </c>
      <c r="W281">
        <v>8.6940000000000008</v>
      </c>
    </row>
    <row r="282" spans="1:23" x14ac:dyDescent="0.3">
      <c r="A282">
        <v>281</v>
      </c>
      <c r="B282" t="s">
        <v>966</v>
      </c>
      <c r="C282" s="2">
        <v>42273</v>
      </c>
      <c r="D282" s="2" t="str">
        <f>LEFT(orders[[#This Row],[Ship Date]],FIND("0",F282)-1)</f>
        <v>9</v>
      </c>
      <c r="E282" s="2" t="str">
        <f>RIGHT(orders[[#This Row],[Ship Date]],4)</f>
        <v>2015</v>
      </c>
      <c r="F282" s="4" t="s">
        <v>2120</v>
      </c>
      <c r="G282" t="s">
        <v>20</v>
      </c>
      <c r="H282" t="s">
        <v>475</v>
      </c>
      <c r="I282" t="s">
        <v>476</v>
      </c>
      <c r="J282" t="s">
        <v>23</v>
      </c>
      <c r="K282" s="5" t="s">
        <v>1896</v>
      </c>
      <c r="L282" s="5" t="str">
        <f t="shared" si="4"/>
        <v>Houston</v>
      </c>
      <c r="M282" t="s">
        <v>94</v>
      </c>
      <c r="N282">
        <v>77070</v>
      </c>
      <c r="O282" t="s">
        <v>95</v>
      </c>
      <c r="P282" t="s">
        <v>967</v>
      </c>
      <c r="Q282" t="s">
        <v>40</v>
      </c>
      <c r="R282" t="s">
        <v>68</v>
      </c>
      <c r="S282" t="s">
        <v>968</v>
      </c>
      <c r="T282">
        <v>2.0799999999999996</v>
      </c>
      <c r="U282">
        <v>5</v>
      </c>
      <c r="V282">
        <v>0.8</v>
      </c>
      <c r="W282">
        <v>-3.4320000000000004</v>
      </c>
    </row>
    <row r="283" spans="1:23" x14ac:dyDescent="0.3">
      <c r="A283">
        <v>282</v>
      </c>
      <c r="B283" t="s">
        <v>966</v>
      </c>
      <c r="C283" s="2">
        <v>42273</v>
      </c>
      <c r="D283" s="2" t="str">
        <f>LEFT(orders[[#This Row],[Ship Date]],FIND("0",F283)-1)</f>
        <v>9</v>
      </c>
      <c r="E283" s="2" t="str">
        <f>RIGHT(orders[[#This Row],[Ship Date]],4)</f>
        <v>2015</v>
      </c>
      <c r="F283" s="4" t="s">
        <v>2120</v>
      </c>
      <c r="G283" t="s">
        <v>20</v>
      </c>
      <c r="H283" t="s">
        <v>475</v>
      </c>
      <c r="I283" t="s">
        <v>476</v>
      </c>
      <c r="J283" t="s">
        <v>23</v>
      </c>
      <c r="K283" s="5" t="s">
        <v>1896</v>
      </c>
      <c r="L283" s="5" t="str">
        <f t="shared" si="4"/>
        <v>Houston</v>
      </c>
      <c r="M283" t="s">
        <v>94</v>
      </c>
      <c r="N283">
        <v>77070</v>
      </c>
      <c r="O283" t="s">
        <v>95</v>
      </c>
      <c r="P283" t="s">
        <v>969</v>
      </c>
      <c r="Q283" t="s">
        <v>64</v>
      </c>
      <c r="R283" t="s">
        <v>65</v>
      </c>
      <c r="S283" t="s">
        <v>970</v>
      </c>
      <c r="T283">
        <v>1114.4000000000001</v>
      </c>
      <c r="U283">
        <v>7</v>
      </c>
      <c r="V283">
        <v>0.2</v>
      </c>
      <c r="W283">
        <v>376.11</v>
      </c>
    </row>
    <row r="284" spans="1:23" x14ac:dyDescent="0.3">
      <c r="A284">
        <v>283</v>
      </c>
      <c r="B284" t="s">
        <v>971</v>
      </c>
      <c r="C284" s="2">
        <v>42310</v>
      </c>
      <c r="D284" s="2" t="str">
        <f>LEFT(orders[[#This Row],[Ship Date]],FIND("0",F284)-1)</f>
        <v>11</v>
      </c>
      <c r="E284" s="2" t="str">
        <f>RIGHT(orders[[#This Row],[Ship Date]],4)</f>
        <v>2015</v>
      </c>
      <c r="F284" s="4" t="s">
        <v>2087</v>
      </c>
      <c r="G284" t="s">
        <v>44</v>
      </c>
      <c r="H284" t="s">
        <v>972</v>
      </c>
      <c r="I284" t="s">
        <v>973</v>
      </c>
      <c r="J284" t="s">
        <v>23</v>
      </c>
      <c r="K284" s="5" t="s">
        <v>1885</v>
      </c>
      <c r="L284" s="5" t="str">
        <f t="shared" si="4"/>
        <v>Los Angeles</v>
      </c>
      <c r="M284" t="s">
        <v>37</v>
      </c>
      <c r="N284">
        <v>90004</v>
      </c>
      <c r="O284" t="s">
        <v>38</v>
      </c>
      <c r="P284" t="s">
        <v>974</v>
      </c>
      <c r="Q284" t="s">
        <v>27</v>
      </c>
      <c r="R284" t="s">
        <v>49</v>
      </c>
      <c r="S284" t="s">
        <v>975</v>
      </c>
      <c r="T284">
        <v>1038.8399999999999</v>
      </c>
      <c r="U284">
        <v>5</v>
      </c>
      <c r="V284">
        <v>0.2</v>
      </c>
      <c r="W284">
        <v>51.942000000000007</v>
      </c>
    </row>
    <row r="285" spans="1:23" x14ac:dyDescent="0.3">
      <c r="A285">
        <v>284</v>
      </c>
      <c r="B285" t="s">
        <v>976</v>
      </c>
      <c r="C285" s="2">
        <v>42273</v>
      </c>
      <c r="D285" s="2" t="str">
        <f>LEFT(orders[[#This Row],[Ship Date]],FIND("0",F285)-1)</f>
        <v>1</v>
      </c>
      <c r="E285" s="2" t="str">
        <f>RIGHT(orders[[#This Row],[Ship Date]],4)</f>
        <v>2015</v>
      </c>
      <c r="F285" s="4" t="s">
        <v>2121</v>
      </c>
      <c r="G285" t="s">
        <v>44</v>
      </c>
      <c r="H285" t="s">
        <v>148</v>
      </c>
      <c r="I285" t="s">
        <v>149</v>
      </c>
      <c r="J285" t="s">
        <v>23</v>
      </c>
      <c r="K285" s="5" t="s">
        <v>1916</v>
      </c>
      <c r="L285" s="5" t="str">
        <f t="shared" si="4"/>
        <v>Portland</v>
      </c>
      <c r="M285" t="s">
        <v>383</v>
      </c>
      <c r="N285">
        <v>97206</v>
      </c>
      <c r="O285" t="s">
        <v>38</v>
      </c>
      <c r="P285" t="s">
        <v>977</v>
      </c>
      <c r="Q285" t="s">
        <v>40</v>
      </c>
      <c r="R285" t="s">
        <v>82</v>
      </c>
      <c r="S285" t="s">
        <v>169</v>
      </c>
      <c r="T285">
        <v>141.76</v>
      </c>
      <c r="U285">
        <v>5</v>
      </c>
      <c r="V285">
        <v>0.2</v>
      </c>
      <c r="W285">
        <v>47.843999999999994</v>
      </c>
    </row>
    <row r="286" spans="1:23" x14ac:dyDescent="0.3">
      <c r="A286">
        <v>285</v>
      </c>
      <c r="B286" t="s">
        <v>976</v>
      </c>
      <c r="C286" s="2">
        <v>42273</v>
      </c>
      <c r="D286" s="2" t="str">
        <f>LEFT(orders[[#This Row],[Ship Date]],FIND("0",F286)-1)</f>
        <v>1</v>
      </c>
      <c r="E286" s="2" t="str">
        <f>RIGHT(orders[[#This Row],[Ship Date]],4)</f>
        <v>2015</v>
      </c>
      <c r="F286" s="4" t="s">
        <v>2121</v>
      </c>
      <c r="G286" t="s">
        <v>44</v>
      </c>
      <c r="H286" t="s">
        <v>148</v>
      </c>
      <c r="I286" t="s">
        <v>149</v>
      </c>
      <c r="J286" t="s">
        <v>23</v>
      </c>
      <c r="K286" s="5" t="s">
        <v>1916</v>
      </c>
      <c r="L286" s="5" t="str">
        <f t="shared" si="4"/>
        <v>Portland</v>
      </c>
      <c r="M286" t="s">
        <v>383</v>
      </c>
      <c r="N286">
        <v>97206</v>
      </c>
      <c r="O286" t="s">
        <v>38</v>
      </c>
      <c r="P286" t="s">
        <v>978</v>
      </c>
      <c r="Q286" t="s">
        <v>64</v>
      </c>
      <c r="R286" t="s">
        <v>145</v>
      </c>
      <c r="S286" t="s">
        <v>979</v>
      </c>
      <c r="T286">
        <v>239.80000000000004</v>
      </c>
      <c r="U286">
        <v>5</v>
      </c>
      <c r="V286">
        <v>0.2</v>
      </c>
      <c r="W286">
        <v>47.959999999999987</v>
      </c>
    </row>
    <row r="287" spans="1:23" x14ac:dyDescent="0.3">
      <c r="A287">
        <v>286</v>
      </c>
      <c r="B287" t="s">
        <v>976</v>
      </c>
      <c r="C287" s="2">
        <v>42273</v>
      </c>
      <c r="D287" s="2" t="str">
        <f>LEFT(orders[[#This Row],[Ship Date]],FIND("0",F287)-1)</f>
        <v>1</v>
      </c>
      <c r="E287" s="2" t="str">
        <f>RIGHT(orders[[#This Row],[Ship Date]],4)</f>
        <v>2015</v>
      </c>
      <c r="F287" s="4" t="s">
        <v>2121</v>
      </c>
      <c r="G287" t="s">
        <v>44</v>
      </c>
      <c r="H287" t="s">
        <v>148</v>
      </c>
      <c r="I287" t="s">
        <v>149</v>
      </c>
      <c r="J287" t="s">
        <v>23</v>
      </c>
      <c r="K287" s="5" t="s">
        <v>1916</v>
      </c>
      <c r="L287" s="5" t="str">
        <f t="shared" si="4"/>
        <v>Portland</v>
      </c>
      <c r="M287" t="s">
        <v>383</v>
      </c>
      <c r="N287">
        <v>97206</v>
      </c>
      <c r="O287" t="s">
        <v>38</v>
      </c>
      <c r="P287" t="s">
        <v>980</v>
      </c>
      <c r="Q287" t="s">
        <v>40</v>
      </c>
      <c r="R287" t="s">
        <v>82</v>
      </c>
      <c r="S287" t="s">
        <v>981</v>
      </c>
      <c r="T287">
        <v>31.104000000000006</v>
      </c>
      <c r="U287">
        <v>6</v>
      </c>
      <c r="V287">
        <v>0.2</v>
      </c>
      <c r="W287">
        <v>10.8864</v>
      </c>
    </row>
    <row r="288" spans="1:23" x14ac:dyDescent="0.3">
      <c r="A288">
        <v>287</v>
      </c>
      <c r="B288" t="s">
        <v>982</v>
      </c>
      <c r="C288" s="2">
        <v>42722</v>
      </c>
      <c r="D288" s="2" t="str">
        <f>LEFT(orders[[#This Row],[Ship Date]],FIND("0",F288)-1)</f>
        <v>12</v>
      </c>
      <c r="E288" s="2" t="str">
        <f>RIGHT(orders[[#This Row],[Ship Date]],4)</f>
        <v>2016</v>
      </c>
      <c r="F288" s="4" t="s">
        <v>2122</v>
      </c>
      <c r="G288" t="s">
        <v>20</v>
      </c>
      <c r="H288" t="s">
        <v>983</v>
      </c>
      <c r="I288" t="s">
        <v>984</v>
      </c>
      <c r="J288" t="s">
        <v>36</v>
      </c>
      <c r="K288" s="5" t="s">
        <v>1960</v>
      </c>
      <c r="L288" s="5" t="str">
        <f t="shared" si="4"/>
        <v>Tamarac</v>
      </c>
      <c r="M288" t="s">
        <v>47</v>
      </c>
      <c r="N288">
        <v>33319</v>
      </c>
      <c r="O288" t="s">
        <v>25</v>
      </c>
      <c r="P288" t="s">
        <v>985</v>
      </c>
      <c r="Q288" t="s">
        <v>40</v>
      </c>
      <c r="R288" t="s">
        <v>68</v>
      </c>
      <c r="S288" t="s">
        <v>986</v>
      </c>
      <c r="T288">
        <v>254.05800000000002</v>
      </c>
      <c r="U288">
        <v>7</v>
      </c>
      <c r="V288">
        <v>0.7</v>
      </c>
      <c r="W288">
        <v>-169.3719999999999</v>
      </c>
    </row>
    <row r="289" spans="1:23" x14ac:dyDescent="0.3">
      <c r="A289">
        <v>288</v>
      </c>
      <c r="B289" t="s">
        <v>982</v>
      </c>
      <c r="C289" s="2">
        <v>42722</v>
      </c>
      <c r="D289" s="2" t="str">
        <f>LEFT(orders[[#This Row],[Ship Date]],FIND("0",F289)-1)</f>
        <v>12</v>
      </c>
      <c r="E289" s="2" t="str">
        <f>RIGHT(orders[[#This Row],[Ship Date]],4)</f>
        <v>2016</v>
      </c>
      <c r="F289" s="4" t="s">
        <v>2122</v>
      </c>
      <c r="G289" t="s">
        <v>20</v>
      </c>
      <c r="H289" t="s">
        <v>983</v>
      </c>
      <c r="I289" t="s">
        <v>984</v>
      </c>
      <c r="J289" t="s">
        <v>36</v>
      </c>
      <c r="K289" s="5" t="s">
        <v>1960</v>
      </c>
      <c r="L289" s="5" t="str">
        <f t="shared" si="4"/>
        <v>Tamarac</v>
      </c>
      <c r="M289" t="s">
        <v>47</v>
      </c>
      <c r="N289">
        <v>33319</v>
      </c>
      <c r="O289" t="s">
        <v>25</v>
      </c>
      <c r="P289" t="s">
        <v>658</v>
      </c>
      <c r="Q289" t="s">
        <v>40</v>
      </c>
      <c r="R289" t="s">
        <v>71</v>
      </c>
      <c r="S289" t="s">
        <v>659</v>
      </c>
      <c r="T289">
        <v>194.52800000000002</v>
      </c>
      <c r="U289">
        <v>2</v>
      </c>
      <c r="V289">
        <v>0.2</v>
      </c>
      <c r="W289">
        <v>24.315999999999974</v>
      </c>
    </row>
    <row r="290" spans="1:23" x14ac:dyDescent="0.3">
      <c r="A290">
        <v>289</v>
      </c>
      <c r="B290" t="s">
        <v>982</v>
      </c>
      <c r="C290" s="2">
        <v>42722</v>
      </c>
      <c r="D290" s="2" t="str">
        <f>LEFT(orders[[#This Row],[Ship Date]],FIND("0",F290)-1)</f>
        <v>12</v>
      </c>
      <c r="E290" s="2" t="str">
        <f>RIGHT(orders[[#This Row],[Ship Date]],4)</f>
        <v>2016</v>
      </c>
      <c r="F290" s="4" t="s">
        <v>2122</v>
      </c>
      <c r="G290" t="s">
        <v>20</v>
      </c>
      <c r="H290" t="s">
        <v>983</v>
      </c>
      <c r="I290" t="s">
        <v>984</v>
      </c>
      <c r="J290" t="s">
        <v>36</v>
      </c>
      <c r="K290" s="5" t="s">
        <v>1960</v>
      </c>
      <c r="L290" s="5" t="str">
        <f t="shared" si="4"/>
        <v>Tamarac</v>
      </c>
      <c r="M290" t="s">
        <v>47</v>
      </c>
      <c r="N290">
        <v>33319</v>
      </c>
      <c r="O290" t="s">
        <v>25</v>
      </c>
      <c r="P290" t="s">
        <v>987</v>
      </c>
      <c r="Q290" t="s">
        <v>40</v>
      </c>
      <c r="R290" t="s">
        <v>531</v>
      </c>
      <c r="S290" t="s">
        <v>988</v>
      </c>
      <c r="T290">
        <v>961.48000000000013</v>
      </c>
      <c r="U290">
        <v>5</v>
      </c>
      <c r="V290">
        <v>0.2</v>
      </c>
      <c r="W290">
        <v>-204.31449999999995</v>
      </c>
    </row>
    <row r="291" spans="1:23" x14ac:dyDescent="0.3">
      <c r="A291">
        <v>290</v>
      </c>
      <c r="B291" t="s">
        <v>989</v>
      </c>
      <c r="C291" s="2">
        <v>42694</v>
      </c>
      <c r="D291" s="2" t="str">
        <f>LEFT(orders[[#This Row],[Ship Date]],FIND("0",F291)-1)</f>
        <v>11</v>
      </c>
      <c r="E291" s="2" t="str">
        <f>RIGHT(orders[[#This Row],[Ship Date]],4)</f>
        <v>2016</v>
      </c>
      <c r="F291" s="4" t="s">
        <v>2073</v>
      </c>
      <c r="G291" t="s">
        <v>20</v>
      </c>
      <c r="H291" t="s">
        <v>990</v>
      </c>
      <c r="I291" t="s">
        <v>991</v>
      </c>
      <c r="J291" t="s">
        <v>93</v>
      </c>
      <c r="K291" s="5" t="s">
        <v>1922</v>
      </c>
      <c r="L291" s="5" t="str">
        <f t="shared" si="4"/>
        <v>Columbus</v>
      </c>
      <c r="M291" t="s">
        <v>455</v>
      </c>
      <c r="N291">
        <v>43229</v>
      </c>
      <c r="O291" t="s">
        <v>133</v>
      </c>
      <c r="P291" t="s">
        <v>992</v>
      </c>
      <c r="Q291" t="s">
        <v>40</v>
      </c>
      <c r="R291" t="s">
        <v>244</v>
      </c>
      <c r="S291" t="s">
        <v>993</v>
      </c>
      <c r="T291">
        <v>19.096</v>
      </c>
      <c r="U291">
        <v>7</v>
      </c>
      <c r="V291">
        <v>0.2</v>
      </c>
      <c r="W291">
        <v>6.6835999999999993</v>
      </c>
    </row>
    <row r="292" spans="1:23" x14ac:dyDescent="0.3">
      <c r="A292">
        <v>291</v>
      </c>
      <c r="B292" t="s">
        <v>989</v>
      </c>
      <c r="C292" s="2">
        <v>42694</v>
      </c>
      <c r="D292" s="2" t="str">
        <f>LEFT(orders[[#This Row],[Ship Date]],FIND("0",F292)-1)</f>
        <v>11</v>
      </c>
      <c r="E292" s="2" t="str">
        <f>RIGHT(orders[[#This Row],[Ship Date]],4)</f>
        <v>2016</v>
      </c>
      <c r="F292" s="4" t="s">
        <v>2073</v>
      </c>
      <c r="G292" t="s">
        <v>20</v>
      </c>
      <c r="H292" t="s">
        <v>990</v>
      </c>
      <c r="I292" t="s">
        <v>991</v>
      </c>
      <c r="J292" t="s">
        <v>93</v>
      </c>
      <c r="K292" s="5" t="s">
        <v>1922</v>
      </c>
      <c r="L292" s="5" t="str">
        <f t="shared" si="4"/>
        <v>Columbus</v>
      </c>
      <c r="M292" t="s">
        <v>455</v>
      </c>
      <c r="N292">
        <v>43229</v>
      </c>
      <c r="O292" t="s">
        <v>133</v>
      </c>
      <c r="P292" t="s">
        <v>994</v>
      </c>
      <c r="Q292" t="s">
        <v>40</v>
      </c>
      <c r="R292" t="s">
        <v>41</v>
      </c>
      <c r="S292" t="s">
        <v>995</v>
      </c>
      <c r="T292">
        <v>18.496000000000002</v>
      </c>
      <c r="U292">
        <v>8</v>
      </c>
      <c r="V292">
        <v>0.2</v>
      </c>
      <c r="W292">
        <v>6.2423999999999999</v>
      </c>
    </row>
    <row r="293" spans="1:23" x14ac:dyDescent="0.3">
      <c r="A293">
        <v>292</v>
      </c>
      <c r="B293" t="s">
        <v>989</v>
      </c>
      <c r="C293" s="2">
        <v>42694</v>
      </c>
      <c r="D293" s="2" t="str">
        <f>LEFT(orders[[#This Row],[Ship Date]],FIND("0",F293)-1)</f>
        <v>11</v>
      </c>
      <c r="E293" s="2" t="str">
        <f>RIGHT(orders[[#This Row],[Ship Date]],4)</f>
        <v>2016</v>
      </c>
      <c r="F293" s="4" t="s">
        <v>2073</v>
      </c>
      <c r="G293" t="s">
        <v>20</v>
      </c>
      <c r="H293" t="s">
        <v>990</v>
      </c>
      <c r="I293" t="s">
        <v>991</v>
      </c>
      <c r="J293" t="s">
        <v>93</v>
      </c>
      <c r="K293" s="5" t="s">
        <v>1922</v>
      </c>
      <c r="L293" s="5" t="str">
        <f t="shared" si="4"/>
        <v>Columbus</v>
      </c>
      <c r="M293" t="s">
        <v>455</v>
      </c>
      <c r="N293">
        <v>43229</v>
      </c>
      <c r="O293" t="s">
        <v>133</v>
      </c>
      <c r="P293" t="s">
        <v>996</v>
      </c>
      <c r="Q293" t="s">
        <v>64</v>
      </c>
      <c r="R293" t="s">
        <v>145</v>
      </c>
      <c r="S293" t="s">
        <v>997</v>
      </c>
      <c r="T293">
        <v>255.98400000000004</v>
      </c>
      <c r="U293">
        <v>2</v>
      </c>
      <c r="V293">
        <v>0.2</v>
      </c>
      <c r="W293">
        <v>54.396600000000007</v>
      </c>
    </row>
    <row r="294" spans="1:23" x14ac:dyDescent="0.3">
      <c r="A294">
        <v>293</v>
      </c>
      <c r="B294" t="s">
        <v>989</v>
      </c>
      <c r="C294" s="2">
        <v>42694</v>
      </c>
      <c r="D294" s="2" t="str">
        <f>LEFT(orders[[#This Row],[Ship Date]],FIND("0",F294)-1)</f>
        <v>11</v>
      </c>
      <c r="E294" s="2" t="str">
        <f>RIGHT(orders[[#This Row],[Ship Date]],4)</f>
        <v>2016</v>
      </c>
      <c r="F294" s="4" t="s">
        <v>2073</v>
      </c>
      <c r="G294" t="s">
        <v>20</v>
      </c>
      <c r="H294" t="s">
        <v>990</v>
      </c>
      <c r="I294" t="s">
        <v>991</v>
      </c>
      <c r="J294" t="s">
        <v>93</v>
      </c>
      <c r="K294" s="5" t="s">
        <v>1922</v>
      </c>
      <c r="L294" s="5" t="str">
        <f t="shared" si="4"/>
        <v>Columbus</v>
      </c>
      <c r="M294" t="s">
        <v>455</v>
      </c>
      <c r="N294">
        <v>43229</v>
      </c>
      <c r="O294" t="s">
        <v>133</v>
      </c>
      <c r="P294" t="s">
        <v>998</v>
      </c>
      <c r="Q294" t="s">
        <v>27</v>
      </c>
      <c r="R294" t="s">
        <v>28</v>
      </c>
      <c r="S294" t="s">
        <v>999</v>
      </c>
      <c r="T294">
        <v>86.97</v>
      </c>
      <c r="U294">
        <v>3</v>
      </c>
      <c r="V294">
        <v>0.5</v>
      </c>
      <c r="W294">
        <v>-48.703199999999995</v>
      </c>
    </row>
    <row r="295" spans="1:23" x14ac:dyDescent="0.3">
      <c r="A295">
        <v>294</v>
      </c>
      <c r="B295" t="s">
        <v>1000</v>
      </c>
      <c r="C295" s="2">
        <v>41999</v>
      </c>
      <c r="D295" s="2" t="str">
        <f>LEFT(orders[[#This Row],[Ship Date]],FIND("0",F295)-1)</f>
        <v>12</v>
      </c>
      <c r="E295" s="2" t="str">
        <f>RIGHT(orders[[#This Row],[Ship Date]],4)</f>
        <v>2014</v>
      </c>
      <c r="F295" s="4" t="s">
        <v>2060</v>
      </c>
      <c r="G295" t="s">
        <v>171</v>
      </c>
      <c r="H295" t="s">
        <v>1001</v>
      </c>
      <c r="I295" t="s">
        <v>1002</v>
      </c>
      <c r="J295" t="s">
        <v>36</v>
      </c>
      <c r="K295" s="5" t="s">
        <v>1961</v>
      </c>
      <c r="L295" s="5" t="str">
        <f t="shared" si="4"/>
        <v>Colorado Springs</v>
      </c>
      <c r="M295" t="s">
        <v>418</v>
      </c>
      <c r="N295">
        <v>80906</v>
      </c>
      <c r="O295" t="s">
        <v>38</v>
      </c>
      <c r="P295" t="s">
        <v>1003</v>
      </c>
      <c r="Q295" t="s">
        <v>27</v>
      </c>
      <c r="R295" t="s">
        <v>58</v>
      </c>
      <c r="S295" t="s">
        <v>1004</v>
      </c>
      <c r="T295">
        <v>300.416</v>
      </c>
      <c r="U295">
        <v>8</v>
      </c>
      <c r="V295">
        <v>0.2</v>
      </c>
      <c r="W295">
        <v>78.859200000000001</v>
      </c>
    </row>
    <row r="296" spans="1:23" x14ac:dyDescent="0.3">
      <c r="A296">
        <v>295</v>
      </c>
      <c r="B296" t="s">
        <v>1000</v>
      </c>
      <c r="C296" s="2">
        <v>41999</v>
      </c>
      <c r="D296" s="2" t="str">
        <f>LEFT(orders[[#This Row],[Ship Date]],FIND("0",F296)-1)</f>
        <v>12</v>
      </c>
      <c r="E296" s="2" t="str">
        <f>RIGHT(orders[[#This Row],[Ship Date]],4)</f>
        <v>2014</v>
      </c>
      <c r="F296" s="4" t="s">
        <v>2060</v>
      </c>
      <c r="G296" t="s">
        <v>171</v>
      </c>
      <c r="H296" t="s">
        <v>1001</v>
      </c>
      <c r="I296" t="s">
        <v>1002</v>
      </c>
      <c r="J296" t="s">
        <v>36</v>
      </c>
      <c r="K296" s="5" t="s">
        <v>1961</v>
      </c>
      <c r="L296" s="5" t="str">
        <f t="shared" si="4"/>
        <v>Colorado Springs</v>
      </c>
      <c r="M296" t="s">
        <v>418</v>
      </c>
      <c r="N296">
        <v>80906</v>
      </c>
      <c r="O296" t="s">
        <v>38</v>
      </c>
      <c r="P296" t="s">
        <v>1005</v>
      </c>
      <c r="Q296" t="s">
        <v>27</v>
      </c>
      <c r="R296" t="s">
        <v>31</v>
      </c>
      <c r="S296" t="s">
        <v>1006</v>
      </c>
      <c r="T296">
        <v>230.35200000000003</v>
      </c>
      <c r="U296">
        <v>3</v>
      </c>
      <c r="V296">
        <v>0.2</v>
      </c>
      <c r="W296">
        <v>20.155800000000013</v>
      </c>
    </row>
    <row r="297" spans="1:23" x14ac:dyDescent="0.3">
      <c r="A297">
        <v>296</v>
      </c>
      <c r="B297" t="s">
        <v>1000</v>
      </c>
      <c r="C297" s="2">
        <v>41999</v>
      </c>
      <c r="D297" s="2" t="str">
        <f>LEFT(orders[[#This Row],[Ship Date]],FIND("0",F297)-1)</f>
        <v>12</v>
      </c>
      <c r="E297" s="2" t="str">
        <f>RIGHT(orders[[#This Row],[Ship Date]],4)</f>
        <v>2014</v>
      </c>
      <c r="F297" s="4" t="s">
        <v>2060</v>
      </c>
      <c r="G297" t="s">
        <v>171</v>
      </c>
      <c r="H297" t="s">
        <v>1001</v>
      </c>
      <c r="I297" t="s">
        <v>1002</v>
      </c>
      <c r="J297" t="s">
        <v>36</v>
      </c>
      <c r="K297" s="5" t="s">
        <v>1961</v>
      </c>
      <c r="L297" s="5" t="str">
        <f t="shared" si="4"/>
        <v>Colorado Springs</v>
      </c>
      <c r="M297" t="s">
        <v>418</v>
      </c>
      <c r="N297">
        <v>80906</v>
      </c>
      <c r="O297" t="s">
        <v>38</v>
      </c>
      <c r="P297" t="s">
        <v>1007</v>
      </c>
      <c r="Q297" t="s">
        <v>27</v>
      </c>
      <c r="R297" t="s">
        <v>58</v>
      </c>
      <c r="S297" t="s">
        <v>1008</v>
      </c>
      <c r="T297">
        <v>218.35200000000003</v>
      </c>
      <c r="U297">
        <v>3</v>
      </c>
      <c r="V297">
        <v>0.2</v>
      </c>
      <c r="W297">
        <v>-24.564599999999999</v>
      </c>
    </row>
    <row r="298" spans="1:23" x14ac:dyDescent="0.3">
      <c r="A298">
        <v>297</v>
      </c>
      <c r="B298" t="s">
        <v>1000</v>
      </c>
      <c r="C298" s="2">
        <v>41999</v>
      </c>
      <c r="D298" s="2" t="str">
        <f>LEFT(orders[[#This Row],[Ship Date]],FIND("0",F298)-1)</f>
        <v>12</v>
      </c>
      <c r="E298" s="2" t="str">
        <f>RIGHT(orders[[#This Row],[Ship Date]],4)</f>
        <v>2014</v>
      </c>
      <c r="F298" s="4" t="s">
        <v>2060</v>
      </c>
      <c r="G298" t="s">
        <v>171</v>
      </c>
      <c r="H298" t="s">
        <v>1001</v>
      </c>
      <c r="I298" t="s">
        <v>1002</v>
      </c>
      <c r="J298" t="s">
        <v>36</v>
      </c>
      <c r="K298" s="5" t="s">
        <v>1961</v>
      </c>
      <c r="L298" s="5" t="str">
        <f t="shared" si="4"/>
        <v>Colorado Springs</v>
      </c>
      <c r="M298" t="s">
        <v>418</v>
      </c>
      <c r="N298">
        <v>80906</v>
      </c>
      <c r="O298" t="s">
        <v>38</v>
      </c>
      <c r="P298" t="s">
        <v>1009</v>
      </c>
      <c r="Q298" t="s">
        <v>40</v>
      </c>
      <c r="R298" t="s">
        <v>68</v>
      </c>
      <c r="S298" t="s">
        <v>1010</v>
      </c>
      <c r="T298">
        <v>78.600000000000009</v>
      </c>
      <c r="U298">
        <v>5</v>
      </c>
      <c r="V298">
        <v>0.7</v>
      </c>
      <c r="W298">
        <v>-62.88000000000001</v>
      </c>
    </row>
    <row r="299" spans="1:23" x14ac:dyDescent="0.3">
      <c r="A299">
        <v>298</v>
      </c>
      <c r="B299" t="s">
        <v>1000</v>
      </c>
      <c r="C299" s="2">
        <v>41999</v>
      </c>
      <c r="D299" s="2" t="str">
        <f>LEFT(orders[[#This Row],[Ship Date]],FIND("0",F299)-1)</f>
        <v>12</v>
      </c>
      <c r="E299" s="2" t="str">
        <f>RIGHT(orders[[#This Row],[Ship Date]],4)</f>
        <v>2014</v>
      </c>
      <c r="F299" s="4" t="s">
        <v>2060</v>
      </c>
      <c r="G299" t="s">
        <v>171</v>
      </c>
      <c r="H299" t="s">
        <v>1001</v>
      </c>
      <c r="I299" t="s">
        <v>1002</v>
      </c>
      <c r="J299" t="s">
        <v>36</v>
      </c>
      <c r="K299" s="5" t="s">
        <v>1961</v>
      </c>
      <c r="L299" s="5" t="str">
        <f t="shared" si="4"/>
        <v>Colorado Springs</v>
      </c>
      <c r="M299" t="s">
        <v>418</v>
      </c>
      <c r="N299">
        <v>80906</v>
      </c>
      <c r="O299" t="s">
        <v>38</v>
      </c>
      <c r="P299" t="s">
        <v>1011</v>
      </c>
      <c r="Q299" t="s">
        <v>40</v>
      </c>
      <c r="R299" t="s">
        <v>244</v>
      </c>
      <c r="S299" t="s">
        <v>1012</v>
      </c>
      <c r="T299">
        <v>27.552000000000003</v>
      </c>
      <c r="U299">
        <v>3</v>
      </c>
      <c r="V299">
        <v>0.2</v>
      </c>
      <c r="W299">
        <v>9.2987999999999964</v>
      </c>
    </row>
    <row r="300" spans="1:23" x14ac:dyDescent="0.3">
      <c r="A300">
        <v>299</v>
      </c>
      <c r="B300" t="s">
        <v>1013</v>
      </c>
      <c r="C300" s="2">
        <v>42671</v>
      </c>
      <c r="D300" s="2" t="str">
        <f>LEFT(orders[[#This Row],[Ship Date]],FIND("0",F300)-1)</f>
        <v>11</v>
      </c>
      <c r="E300" s="2" t="str">
        <f>RIGHT(orders[[#This Row],[Ship Date]],4)</f>
        <v>2016</v>
      </c>
      <c r="F300" s="4" t="s">
        <v>2123</v>
      </c>
      <c r="G300" t="s">
        <v>44</v>
      </c>
      <c r="H300" t="s">
        <v>534</v>
      </c>
      <c r="I300" t="s">
        <v>535</v>
      </c>
      <c r="J300" t="s">
        <v>36</v>
      </c>
      <c r="K300" s="5" t="s">
        <v>1962</v>
      </c>
      <c r="L300" s="5" t="str">
        <f t="shared" si="4"/>
        <v>Belleville</v>
      </c>
      <c r="M300" t="s">
        <v>727</v>
      </c>
      <c r="N300">
        <v>7109</v>
      </c>
      <c r="O300" t="s">
        <v>133</v>
      </c>
      <c r="P300" t="s">
        <v>1014</v>
      </c>
      <c r="Q300" t="s">
        <v>40</v>
      </c>
      <c r="R300" t="s">
        <v>82</v>
      </c>
      <c r="S300" t="s">
        <v>1015</v>
      </c>
      <c r="T300">
        <v>32.400000000000006</v>
      </c>
      <c r="U300">
        <v>5</v>
      </c>
      <c r="V300">
        <v>0</v>
      </c>
      <c r="W300">
        <v>15.552000000000001</v>
      </c>
    </row>
    <row r="301" spans="1:23" x14ac:dyDescent="0.3">
      <c r="A301">
        <v>300</v>
      </c>
      <c r="B301" t="s">
        <v>1013</v>
      </c>
      <c r="C301" s="2">
        <v>42671</v>
      </c>
      <c r="D301" s="2" t="str">
        <f>LEFT(orders[[#This Row],[Ship Date]],FIND("0",F301)-1)</f>
        <v>11</v>
      </c>
      <c r="E301" s="2" t="str">
        <f>RIGHT(orders[[#This Row],[Ship Date]],4)</f>
        <v>2016</v>
      </c>
      <c r="F301" s="4" t="s">
        <v>2123</v>
      </c>
      <c r="G301" t="s">
        <v>44</v>
      </c>
      <c r="H301" t="s">
        <v>534</v>
      </c>
      <c r="I301" t="s">
        <v>535</v>
      </c>
      <c r="J301" t="s">
        <v>36</v>
      </c>
      <c r="K301" s="5" t="s">
        <v>1962</v>
      </c>
      <c r="L301" s="5" t="str">
        <f t="shared" si="4"/>
        <v>Belleville</v>
      </c>
      <c r="M301" t="s">
        <v>727</v>
      </c>
      <c r="N301">
        <v>7109</v>
      </c>
      <c r="O301" t="s">
        <v>133</v>
      </c>
      <c r="P301" t="s">
        <v>1016</v>
      </c>
      <c r="Q301" t="s">
        <v>40</v>
      </c>
      <c r="R301" t="s">
        <v>52</v>
      </c>
      <c r="S301" t="s">
        <v>1017</v>
      </c>
      <c r="T301">
        <v>1082.48</v>
      </c>
      <c r="U301">
        <v>8</v>
      </c>
      <c r="V301">
        <v>0</v>
      </c>
      <c r="W301">
        <v>10.824800000000096</v>
      </c>
    </row>
    <row r="302" spans="1:23" x14ac:dyDescent="0.3">
      <c r="A302">
        <v>301</v>
      </c>
      <c r="B302" t="s">
        <v>1013</v>
      </c>
      <c r="C302" s="2">
        <v>42671</v>
      </c>
      <c r="D302" s="2" t="str">
        <f>LEFT(orders[[#This Row],[Ship Date]],FIND("0",F302)-1)</f>
        <v>11</v>
      </c>
      <c r="E302" s="2" t="str">
        <f>RIGHT(orders[[#This Row],[Ship Date]],4)</f>
        <v>2016</v>
      </c>
      <c r="F302" s="4" t="s">
        <v>2123</v>
      </c>
      <c r="G302" t="s">
        <v>44</v>
      </c>
      <c r="H302" t="s">
        <v>534</v>
      </c>
      <c r="I302" t="s">
        <v>535</v>
      </c>
      <c r="J302" t="s">
        <v>36</v>
      </c>
      <c r="K302" s="5" t="s">
        <v>1962</v>
      </c>
      <c r="L302" s="5" t="str">
        <f t="shared" si="4"/>
        <v>Belleville</v>
      </c>
      <c r="M302" t="s">
        <v>727</v>
      </c>
      <c r="N302">
        <v>7109</v>
      </c>
      <c r="O302" t="s">
        <v>133</v>
      </c>
      <c r="P302" t="s">
        <v>1018</v>
      </c>
      <c r="Q302" t="s">
        <v>40</v>
      </c>
      <c r="R302" t="s">
        <v>82</v>
      </c>
      <c r="S302" t="s">
        <v>1019</v>
      </c>
      <c r="T302">
        <v>56.91</v>
      </c>
      <c r="U302">
        <v>3</v>
      </c>
      <c r="V302">
        <v>0</v>
      </c>
      <c r="W302">
        <v>27.316799999999997</v>
      </c>
    </row>
    <row r="303" spans="1:23" x14ac:dyDescent="0.3">
      <c r="A303">
        <v>302</v>
      </c>
      <c r="B303" t="s">
        <v>1013</v>
      </c>
      <c r="C303" s="2">
        <v>42671</v>
      </c>
      <c r="D303" s="2" t="str">
        <f>LEFT(orders[[#This Row],[Ship Date]],FIND("0",F303)-1)</f>
        <v>11</v>
      </c>
      <c r="E303" s="2" t="str">
        <f>RIGHT(orders[[#This Row],[Ship Date]],4)</f>
        <v>2016</v>
      </c>
      <c r="F303" s="4" t="s">
        <v>2123</v>
      </c>
      <c r="G303" t="s">
        <v>44</v>
      </c>
      <c r="H303" t="s">
        <v>534</v>
      </c>
      <c r="I303" t="s">
        <v>535</v>
      </c>
      <c r="J303" t="s">
        <v>36</v>
      </c>
      <c r="K303" s="5" t="s">
        <v>1962</v>
      </c>
      <c r="L303" s="5" t="str">
        <f t="shared" si="4"/>
        <v>Belleville</v>
      </c>
      <c r="M303" t="s">
        <v>727</v>
      </c>
      <c r="N303">
        <v>7109</v>
      </c>
      <c r="O303" t="s">
        <v>133</v>
      </c>
      <c r="P303" t="s">
        <v>1020</v>
      </c>
      <c r="Q303" t="s">
        <v>27</v>
      </c>
      <c r="R303" t="s">
        <v>58</v>
      </c>
      <c r="S303" t="s">
        <v>1021</v>
      </c>
      <c r="T303">
        <v>77.599999999999994</v>
      </c>
      <c r="U303">
        <v>4</v>
      </c>
      <c r="V303">
        <v>0</v>
      </c>
      <c r="W303">
        <v>38.023999999999994</v>
      </c>
    </row>
    <row r="304" spans="1:23" x14ac:dyDescent="0.3">
      <c r="A304">
        <v>303</v>
      </c>
      <c r="B304" t="s">
        <v>1013</v>
      </c>
      <c r="C304" s="2">
        <v>42671</v>
      </c>
      <c r="D304" s="2" t="str">
        <f>LEFT(orders[[#This Row],[Ship Date]],FIND("0",F304)-1)</f>
        <v>11</v>
      </c>
      <c r="E304" s="2" t="str">
        <f>RIGHT(orders[[#This Row],[Ship Date]],4)</f>
        <v>2016</v>
      </c>
      <c r="F304" s="4" t="s">
        <v>2123</v>
      </c>
      <c r="G304" t="s">
        <v>44</v>
      </c>
      <c r="H304" t="s">
        <v>534</v>
      </c>
      <c r="I304" t="s">
        <v>535</v>
      </c>
      <c r="J304" t="s">
        <v>36</v>
      </c>
      <c r="K304" s="5" t="s">
        <v>1962</v>
      </c>
      <c r="L304" s="5" t="str">
        <f t="shared" si="4"/>
        <v>Belleville</v>
      </c>
      <c r="M304" t="s">
        <v>727</v>
      </c>
      <c r="N304">
        <v>7109</v>
      </c>
      <c r="O304" t="s">
        <v>133</v>
      </c>
      <c r="P304" t="s">
        <v>1022</v>
      </c>
      <c r="Q304" t="s">
        <v>40</v>
      </c>
      <c r="R304" t="s">
        <v>68</v>
      </c>
      <c r="S304" t="s">
        <v>1023</v>
      </c>
      <c r="T304">
        <v>14.28</v>
      </c>
      <c r="U304">
        <v>1</v>
      </c>
      <c r="V304">
        <v>0</v>
      </c>
      <c r="W304">
        <v>6.5687999999999995</v>
      </c>
    </row>
    <row r="305" spans="1:23" x14ac:dyDescent="0.3">
      <c r="A305">
        <v>304</v>
      </c>
      <c r="B305" t="s">
        <v>1024</v>
      </c>
      <c r="C305" s="2">
        <v>43058</v>
      </c>
      <c r="D305" s="2" t="str">
        <f>LEFT(orders[[#This Row],[Ship Date]],FIND("0",F305)-1)</f>
        <v>11</v>
      </c>
      <c r="E305" s="2" t="str">
        <f>RIGHT(orders[[#This Row],[Ship Date]],4)</f>
        <v>2017</v>
      </c>
      <c r="F305" s="4" t="s">
        <v>2124</v>
      </c>
      <c r="G305" t="s">
        <v>44</v>
      </c>
      <c r="H305" t="s">
        <v>792</v>
      </c>
      <c r="I305" t="s">
        <v>793</v>
      </c>
      <c r="J305" t="s">
        <v>23</v>
      </c>
      <c r="K305" s="5" t="s">
        <v>1906</v>
      </c>
      <c r="L305" s="5" t="str">
        <f t="shared" si="4"/>
        <v>Chicago</v>
      </c>
      <c r="M305" t="s">
        <v>192</v>
      </c>
      <c r="N305">
        <v>60623</v>
      </c>
      <c r="O305" t="s">
        <v>95</v>
      </c>
      <c r="P305" t="s">
        <v>1025</v>
      </c>
      <c r="Q305" t="s">
        <v>27</v>
      </c>
      <c r="R305" t="s">
        <v>49</v>
      </c>
      <c r="S305" t="s">
        <v>1026</v>
      </c>
      <c r="T305">
        <v>219.07500000000002</v>
      </c>
      <c r="U305">
        <v>3</v>
      </c>
      <c r="V305">
        <v>0.5</v>
      </c>
      <c r="W305">
        <v>-131.44500000000005</v>
      </c>
    </row>
    <row r="306" spans="1:23" x14ac:dyDescent="0.3">
      <c r="A306">
        <v>305</v>
      </c>
      <c r="B306" t="s">
        <v>1027</v>
      </c>
      <c r="C306" s="2">
        <v>42128</v>
      </c>
      <c r="D306" s="2" t="str">
        <f>LEFT(orders[[#This Row],[Ship Date]],FIND("0",F306)-1)</f>
        <v>5</v>
      </c>
      <c r="E306" s="2" t="str">
        <f>RIGHT(orders[[#This Row],[Ship Date]],4)</f>
        <v>2015</v>
      </c>
      <c r="F306" s="4" t="s">
        <v>2125</v>
      </c>
      <c r="G306" t="s">
        <v>20</v>
      </c>
      <c r="H306" t="s">
        <v>1028</v>
      </c>
      <c r="I306" t="s">
        <v>1029</v>
      </c>
      <c r="J306" t="s">
        <v>36</v>
      </c>
      <c r="K306" s="5" t="s">
        <v>1904</v>
      </c>
      <c r="L306" s="5" t="str">
        <f t="shared" si="4"/>
        <v>New York City</v>
      </c>
      <c r="M306" t="s">
        <v>242</v>
      </c>
      <c r="N306">
        <v>10024</v>
      </c>
      <c r="O306" t="s">
        <v>133</v>
      </c>
      <c r="P306" t="s">
        <v>1030</v>
      </c>
      <c r="Q306" t="s">
        <v>27</v>
      </c>
      <c r="R306" t="s">
        <v>58</v>
      </c>
      <c r="S306" t="s">
        <v>1031</v>
      </c>
      <c r="T306">
        <v>26.8</v>
      </c>
      <c r="U306">
        <v>2</v>
      </c>
      <c r="V306">
        <v>0</v>
      </c>
      <c r="W306">
        <v>12.863999999999999</v>
      </c>
    </row>
    <row r="307" spans="1:23" x14ac:dyDescent="0.3">
      <c r="A307">
        <v>306</v>
      </c>
      <c r="B307" t="s">
        <v>1032</v>
      </c>
      <c r="C307" s="2">
        <v>42003</v>
      </c>
      <c r="D307" s="2" t="str">
        <f>LEFT(orders[[#This Row],[Ship Date]],FIND("0",F307)-1)</f>
        <v>1</v>
      </c>
      <c r="E307" s="2" t="str">
        <f>RIGHT(orders[[#This Row],[Ship Date]],4)</f>
        <v>2015</v>
      </c>
      <c r="F307" s="4" t="s">
        <v>2126</v>
      </c>
      <c r="G307" t="s">
        <v>44</v>
      </c>
      <c r="H307" t="s">
        <v>312</v>
      </c>
      <c r="I307" t="s">
        <v>313</v>
      </c>
      <c r="J307" t="s">
        <v>36</v>
      </c>
      <c r="K307" s="5" t="s">
        <v>1963</v>
      </c>
      <c r="L307" s="5" t="str">
        <f t="shared" si="4"/>
        <v>Taylor</v>
      </c>
      <c r="M307" t="s">
        <v>216</v>
      </c>
      <c r="N307">
        <v>48180</v>
      </c>
      <c r="O307" t="s">
        <v>95</v>
      </c>
      <c r="P307" t="s">
        <v>1033</v>
      </c>
      <c r="Q307" t="s">
        <v>40</v>
      </c>
      <c r="R307" t="s">
        <v>61</v>
      </c>
      <c r="S307" t="s">
        <v>1034</v>
      </c>
      <c r="T307">
        <v>9.84</v>
      </c>
      <c r="U307">
        <v>3</v>
      </c>
      <c r="V307">
        <v>0</v>
      </c>
      <c r="W307">
        <v>2.8535999999999988</v>
      </c>
    </row>
    <row r="308" spans="1:23" x14ac:dyDescent="0.3">
      <c r="A308">
        <v>307</v>
      </c>
      <c r="B308" t="s">
        <v>1035</v>
      </c>
      <c r="C308" s="2">
        <v>41791</v>
      </c>
      <c r="D308" s="2" t="str">
        <f>LEFT(orders[[#This Row],[Ship Date]],FIND("0",F308)-1)</f>
        <v>6</v>
      </c>
      <c r="E308" s="2" t="str">
        <f>RIGHT(orders[[#This Row],[Ship Date]],4)</f>
        <v>2014</v>
      </c>
      <c r="F308" s="4" t="s">
        <v>2106</v>
      </c>
      <c r="G308" t="s">
        <v>44</v>
      </c>
      <c r="H308" t="s">
        <v>1036</v>
      </c>
      <c r="I308" t="s">
        <v>1037</v>
      </c>
      <c r="J308" t="s">
        <v>93</v>
      </c>
      <c r="K308" s="5" t="s">
        <v>1964</v>
      </c>
      <c r="L308" s="5" t="str">
        <f t="shared" si="4"/>
        <v>Lakewood</v>
      </c>
      <c r="M308" t="s">
        <v>727</v>
      </c>
      <c r="N308">
        <v>8701</v>
      </c>
      <c r="O308" t="s">
        <v>133</v>
      </c>
      <c r="P308" t="s">
        <v>1038</v>
      </c>
      <c r="Q308" t="s">
        <v>40</v>
      </c>
      <c r="R308" t="s">
        <v>68</v>
      </c>
      <c r="S308" t="s">
        <v>1039</v>
      </c>
      <c r="T308">
        <v>45.480000000000004</v>
      </c>
      <c r="U308">
        <v>3</v>
      </c>
      <c r="V308">
        <v>0</v>
      </c>
      <c r="W308">
        <v>20.9208</v>
      </c>
    </row>
    <row r="309" spans="1:23" x14ac:dyDescent="0.3">
      <c r="A309">
        <v>308</v>
      </c>
      <c r="B309" t="s">
        <v>1035</v>
      </c>
      <c r="C309" s="2">
        <v>41791</v>
      </c>
      <c r="D309" s="2" t="str">
        <f>LEFT(orders[[#This Row],[Ship Date]],FIND("0",F309)-1)</f>
        <v>6</v>
      </c>
      <c r="E309" s="2" t="str">
        <f>RIGHT(orders[[#This Row],[Ship Date]],4)</f>
        <v>2014</v>
      </c>
      <c r="F309" s="4" t="s">
        <v>2106</v>
      </c>
      <c r="G309" t="s">
        <v>44</v>
      </c>
      <c r="H309" t="s">
        <v>1036</v>
      </c>
      <c r="I309" t="s">
        <v>1037</v>
      </c>
      <c r="J309" t="s">
        <v>93</v>
      </c>
      <c r="K309" s="5" t="s">
        <v>1964</v>
      </c>
      <c r="L309" s="5" t="str">
        <f t="shared" si="4"/>
        <v>Lakewood</v>
      </c>
      <c r="M309" t="s">
        <v>727</v>
      </c>
      <c r="N309">
        <v>8701</v>
      </c>
      <c r="O309" t="s">
        <v>133</v>
      </c>
      <c r="P309" t="s">
        <v>1040</v>
      </c>
      <c r="Q309" t="s">
        <v>40</v>
      </c>
      <c r="R309" t="s">
        <v>61</v>
      </c>
      <c r="S309" t="s">
        <v>1041</v>
      </c>
      <c r="T309">
        <v>289.20000000000005</v>
      </c>
      <c r="U309">
        <v>6</v>
      </c>
      <c r="V309">
        <v>0</v>
      </c>
      <c r="W309">
        <v>83.867999999999967</v>
      </c>
    </row>
    <row r="310" spans="1:23" x14ac:dyDescent="0.3">
      <c r="A310">
        <v>309</v>
      </c>
      <c r="B310" t="s">
        <v>1042</v>
      </c>
      <c r="C310" s="2">
        <v>42840</v>
      </c>
      <c r="D310" s="2" t="str">
        <f>LEFT(orders[[#This Row],[Ship Date]],FIND("0",F310)-1)</f>
        <v>4</v>
      </c>
      <c r="E310" s="2" t="str">
        <f>RIGHT(orders[[#This Row],[Ship Date]],4)</f>
        <v>2017</v>
      </c>
      <c r="F310" s="4" t="s">
        <v>2127</v>
      </c>
      <c r="G310" t="s">
        <v>171</v>
      </c>
      <c r="H310" t="s">
        <v>1043</v>
      </c>
      <c r="I310" t="s">
        <v>1044</v>
      </c>
      <c r="J310" t="s">
        <v>23</v>
      </c>
      <c r="K310" s="5" t="s">
        <v>1965</v>
      </c>
      <c r="L310" s="5" t="str">
        <f t="shared" si="4"/>
        <v>Arlington</v>
      </c>
      <c r="M310" t="s">
        <v>290</v>
      </c>
      <c r="N310">
        <v>22204</v>
      </c>
      <c r="O310" t="s">
        <v>25</v>
      </c>
      <c r="P310" t="s">
        <v>1045</v>
      </c>
      <c r="Q310" t="s">
        <v>40</v>
      </c>
      <c r="R310" t="s">
        <v>61</v>
      </c>
      <c r="S310" t="s">
        <v>1046</v>
      </c>
      <c r="T310">
        <v>4.8899999999999997</v>
      </c>
      <c r="U310">
        <v>1</v>
      </c>
      <c r="V310">
        <v>0</v>
      </c>
      <c r="W310">
        <v>2.0049000000000001</v>
      </c>
    </row>
    <row r="311" spans="1:23" x14ac:dyDescent="0.3">
      <c r="A311">
        <v>310</v>
      </c>
      <c r="B311" t="s">
        <v>1047</v>
      </c>
      <c r="C311" s="2">
        <v>42625</v>
      </c>
      <c r="D311" s="2" t="str">
        <f>LEFT(orders[[#This Row],[Ship Date]],FIND("0",F311)-1)</f>
        <v>9</v>
      </c>
      <c r="E311" s="2" t="str">
        <f>RIGHT(orders[[#This Row],[Ship Date]],4)</f>
        <v>2016</v>
      </c>
      <c r="F311" s="4" t="s">
        <v>2128</v>
      </c>
      <c r="G311" t="s">
        <v>20</v>
      </c>
      <c r="H311" t="s">
        <v>1048</v>
      </c>
      <c r="I311" t="s">
        <v>1049</v>
      </c>
      <c r="J311" t="s">
        <v>36</v>
      </c>
      <c r="K311" s="5" t="s">
        <v>1966</v>
      </c>
      <c r="L311" s="5" t="str">
        <f t="shared" si="4"/>
        <v>Arvada</v>
      </c>
      <c r="M311" t="s">
        <v>418</v>
      </c>
      <c r="N311">
        <v>80004</v>
      </c>
      <c r="O311" t="s">
        <v>38</v>
      </c>
      <c r="P311" t="s">
        <v>1050</v>
      </c>
      <c r="Q311" t="s">
        <v>27</v>
      </c>
      <c r="R311" t="s">
        <v>58</v>
      </c>
      <c r="S311" t="s">
        <v>1051</v>
      </c>
      <c r="T311">
        <v>15.136000000000003</v>
      </c>
      <c r="U311">
        <v>4</v>
      </c>
      <c r="V311">
        <v>0.2</v>
      </c>
      <c r="W311">
        <v>3.5948000000000011</v>
      </c>
    </row>
    <row r="312" spans="1:23" x14ac:dyDescent="0.3">
      <c r="A312">
        <v>311</v>
      </c>
      <c r="B312" t="s">
        <v>1047</v>
      </c>
      <c r="C312" s="2">
        <v>42625</v>
      </c>
      <c r="D312" s="2" t="str">
        <f>LEFT(orders[[#This Row],[Ship Date]],FIND("0",F312)-1)</f>
        <v>9</v>
      </c>
      <c r="E312" s="2" t="str">
        <f>RIGHT(orders[[#This Row],[Ship Date]],4)</f>
        <v>2016</v>
      </c>
      <c r="F312" s="4" t="s">
        <v>2128</v>
      </c>
      <c r="G312" t="s">
        <v>20</v>
      </c>
      <c r="H312" t="s">
        <v>1048</v>
      </c>
      <c r="I312" t="s">
        <v>1049</v>
      </c>
      <c r="J312" t="s">
        <v>36</v>
      </c>
      <c r="K312" s="5" t="s">
        <v>1966</v>
      </c>
      <c r="L312" s="5" t="str">
        <f t="shared" si="4"/>
        <v>Arvada</v>
      </c>
      <c r="M312" t="s">
        <v>418</v>
      </c>
      <c r="N312">
        <v>80004</v>
      </c>
      <c r="O312" t="s">
        <v>38</v>
      </c>
      <c r="P312" t="s">
        <v>1052</v>
      </c>
      <c r="Q312" t="s">
        <v>27</v>
      </c>
      <c r="R312" t="s">
        <v>31</v>
      </c>
      <c r="S312" t="s">
        <v>1053</v>
      </c>
      <c r="T312">
        <v>466.76800000000003</v>
      </c>
      <c r="U312">
        <v>2</v>
      </c>
      <c r="V312">
        <v>0.2</v>
      </c>
      <c r="W312">
        <v>52.511399999999981</v>
      </c>
    </row>
    <row r="313" spans="1:23" x14ac:dyDescent="0.3">
      <c r="A313">
        <v>312</v>
      </c>
      <c r="B313" t="s">
        <v>1047</v>
      </c>
      <c r="C313" s="2">
        <v>42625</v>
      </c>
      <c r="D313" s="2" t="str">
        <f>LEFT(orders[[#This Row],[Ship Date]],FIND("0",F313)-1)</f>
        <v>9</v>
      </c>
      <c r="E313" s="2" t="str">
        <f>RIGHT(orders[[#This Row],[Ship Date]],4)</f>
        <v>2016</v>
      </c>
      <c r="F313" s="4" t="s">
        <v>2128</v>
      </c>
      <c r="G313" t="s">
        <v>20</v>
      </c>
      <c r="H313" t="s">
        <v>1048</v>
      </c>
      <c r="I313" t="s">
        <v>1049</v>
      </c>
      <c r="J313" t="s">
        <v>36</v>
      </c>
      <c r="K313" s="5" t="s">
        <v>1966</v>
      </c>
      <c r="L313" s="5" t="str">
        <f t="shared" si="4"/>
        <v>Arvada</v>
      </c>
      <c r="M313" t="s">
        <v>418</v>
      </c>
      <c r="N313">
        <v>80004</v>
      </c>
      <c r="O313" t="s">
        <v>38</v>
      </c>
      <c r="P313" t="s">
        <v>1054</v>
      </c>
      <c r="Q313" t="s">
        <v>27</v>
      </c>
      <c r="R313" t="s">
        <v>58</v>
      </c>
      <c r="S313" t="s">
        <v>1055</v>
      </c>
      <c r="T313">
        <v>15.231999999999999</v>
      </c>
      <c r="U313">
        <v>1</v>
      </c>
      <c r="V313">
        <v>0.2</v>
      </c>
      <c r="W313">
        <v>1.7135999999999978</v>
      </c>
    </row>
    <row r="314" spans="1:23" x14ac:dyDescent="0.3">
      <c r="A314">
        <v>313</v>
      </c>
      <c r="B314" t="s">
        <v>1047</v>
      </c>
      <c r="C314" s="2">
        <v>42625</v>
      </c>
      <c r="D314" s="2" t="str">
        <f>LEFT(orders[[#This Row],[Ship Date]],FIND("0",F314)-1)</f>
        <v>9</v>
      </c>
      <c r="E314" s="2" t="str">
        <f>RIGHT(orders[[#This Row],[Ship Date]],4)</f>
        <v>2016</v>
      </c>
      <c r="F314" s="4" t="s">
        <v>2128</v>
      </c>
      <c r="G314" t="s">
        <v>20</v>
      </c>
      <c r="H314" t="s">
        <v>1048</v>
      </c>
      <c r="I314" t="s">
        <v>1049</v>
      </c>
      <c r="J314" t="s">
        <v>36</v>
      </c>
      <c r="K314" s="5" t="s">
        <v>1966</v>
      </c>
      <c r="L314" s="5" t="str">
        <f t="shared" si="4"/>
        <v>Arvada</v>
      </c>
      <c r="M314" t="s">
        <v>418</v>
      </c>
      <c r="N314">
        <v>80004</v>
      </c>
      <c r="O314" t="s">
        <v>38</v>
      </c>
      <c r="P314" t="s">
        <v>1056</v>
      </c>
      <c r="Q314" t="s">
        <v>40</v>
      </c>
      <c r="R314" t="s">
        <v>41</v>
      </c>
      <c r="S314" t="s">
        <v>1057</v>
      </c>
      <c r="T314">
        <v>6.2640000000000002</v>
      </c>
      <c r="U314">
        <v>3</v>
      </c>
      <c r="V314">
        <v>0.2</v>
      </c>
      <c r="W314">
        <v>2.0358000000000001</v>
      </c>
    </row>
    <row r="315" spans="1:23" x14ac:dyDescent="0.3">
      <c r="A315">
        <v>314</v>
      </c>
      <c r="B315" t="s">
        <v>1058</v>
      </c>
      <c r="C315" s="2">
        <v>41909</v>
      </c>
      <c r="D315" s="2" t="str">
        <f>LEFT(orders[[#This Row],[Ship Date]],FIND("0",F315)-1)</f>
        <v>1</v>
      </c>
      <c r="E315" s="2" t="str">
        <f>RIGHT(orders[[#This Row],[Ship Date]],4)</f>
        <v>2014</v>
      </c>
      <c r="F315" s="4" t="s">
        <v>2129</v>
      </c>
      <c r="G315" t="s">
        <v>44</v>
      </c>
      <c r="H315" t="s">
        <v>1059</v>
      </c>
      <c r="I315" t="s">
        <v>1060</v>
      </c>
      <c r="J315" t="s">
        <v>36</v>
      </c>
      <c r="K315" s="5" t="s">
        <v>1967</v>
      </c>
      <c r="L315" s="5" t="str">
        <f t="shared" si="4"/>
        <v>Hackensack</v>
      </c>
      <c r="M315" t="s">
        <v>727</v>
      </c>
      <c r="N315">
        <v>7601</v>
      </c>
      <c r="O315" t="s">
        <v>133</v>
      </c>
      <c r="P315" t="s">
        <v>1061</v>
      </c>
      <c r="Q315" t="s">
        <v>27</v>
      </c>
      <c r="R315" t="s">
        <v>58</v>
      </c>
      <c r="S315" t="s">
        <v>1062</v>
      </c>
      <c r="T315">
        <v>87.539999999999992</v>
      </c>
      <c r="U315">
        <v>3</v>
      </c>
      <c r="V315">
        <v>0</v>
      </c>
      <c r="W315">
        <v>37.642200000000003</v>
      </c>
    </row>
    <row r="316" spans="1:23" x14ac:dyDescent="0.3">
      <c r="A316">
        <v>315</v>
      </c>
      <c r="B316" t="s">
        <v>1063</v>
      </c>
      <c r="C316" s="2">
        <v>41860</v>
      </c>
      <c r="D316" s="2" t="str">
        <f>LEFT(orders[[#This Row],[Ship Date]],FIND("0",F316)-1)</f>
        <v>8</v>
      </c>
      <c r="E316" s="2" t="str">
        <f>RIGHT(orders[[#This Row],[Ship Date]],4)</f>
        <v>2014</v>
      </c>
      <c r="F316" s="4" t="s">
        <v>2130</v>
      </c>
      <c r="G316" t="s">
        <v>44</v>
      </c>
      <c r="H316" t="s">
        <v>1064</v>
      </c>
      <c r="I316" t="s">
        <v>1065</v>
      </c>
      <c r="J316" t="s">
        <v>36</v>
      </c>
      <c r="K316" s="5" t="s">
        <v>1968</v>
      </c>
      <c r="L316" s="5" t="str">
        <f t="shared" si="4"/>
        <v>Saint Petersburg</v>
      </c>
      <c r="M316" t="s">
        <v>47</v>
      </c>
      <c r="N316">
        <v>33710</v>
      </c>
      <c r="O316" t="s">
        <v>25</v>
      </c>
      <c r="P316" t="s">
        <v>1066</v>
      </c>
      <c r="Q316" t="s">
        <v>64</v>
      </c>
      <c r="R316" t="s">
        <v>65</v>
      </c>
      <c r="S316" t="s">
        <v>1067</v>
      </c>
      <c r="T316">
        <v>178.38400000000001</v>
      </c>
      <c r="U316">
        <v>2</v>
      </c>
      <c r="V316">
        <v>0.2</v>
      </c>
      <c r="W316">
        <v>22.297999999999973</v>
      </c>
    </row>
    <row r="317" spans="1:23" x14ac:dyDescent="0.3">
      <c r="A317">
        <v>316</v>
      </c>
      <c r="B317" t="s">
        <v>1063</v>
      </c>
      <c r="C317" s="2">
        <v>41860</v>
      </c>
      <c r="D317" s="2" t="str">
        <f>LEFT(orders[[#This Row],[Ship Date]],FIND("0",F317)-1)</f>
        <v>8</v>
      </c>
      <c r="E317" s="2" t="str">
        <f>RIGHT(orders[[#This Row],[Ship Date]],4)</f>
        <v>2014</v>
      </c>
      <c r="F317" s="4" t="s">
        <v>2130</v>
      </c>
      <c r="G317" t="s">
        <v>44</v>
      </c>
      <c r="H317" t="s">
        <v>1064</v>
      </c>
      <c r="I317" t="s">
        <v>1065</v>
      </c>
      <c r="J317" t="s">
        <v>36</v>
      </c>
      <c r="K317" s="5" t="s">
        <v>1968</v>
      </c>
      <c r="L317" s="5" t="str">
        <f t="shared" si="4"/>
        <v>Saint Petersburg</v>
      </c>
      <c r="M317" t="s">
        <v>47</v>
      </c>
      <c r="N317">
        <v>33710</v>
      </c>
      <c r="O317" t="s">
        <v>25</v>
      </c>
      <c r="P317" t="s">
        <v>1068</v>
      </c>
      <c r="Q317" t="s">
        <v>40</v>
      </c>
      <c r="R317" t="s">
        <v>82</v>
      </c>
      <c r="S317" t="s">
        <v>1069</v>
      </c>
      <c r="T317">
        <v>15.552000000000003</v>
      </c>
      <c r="U317">
        <v>3</v>
      </c>
      <c r="V317">
        <v>0.2</v>
      </c>
      <c r="W317">
        <v>5.4432</v>
      </c>
    </row>
    <row r="318" spans="1:23" x14ac:dyDescent="0.3">
      <c r="A318">
        <v>317</v>
      </c>
      <c r="B318" t="s">
        <v>1070</v>
      </c>
      <c r="C318" s="2">
        <v>42001</v>
      </c>
      <c r="D318" s="2" t="str">
        <f>LEFT(orders[[#This Row],[Ship Date]],FIND("0",F318)-1)</f>
        <v>12</v>
      </c>
      <c r="E318" s="2" t="str">
        <f>RIGHT(orders[[#This Row],[Ship Date]],4)</f>
        <v>2014</v>
      </c>
      <c r="F318" s="4" t="s">
        <v>2131</v>
      </c>
      <c r="G318" t="s">
        <v>171</v>
      </c>
      <c r="H318" t="s">
        <v>1071</v>
      </c>
      <c r="I318" t="s">
        <v>1072</v>
      </c>
      <c r="J318" t="s">
        <v>36</v>
      </c>
      <c r="K318" s="5" t="s">
        <v>1894</v>
      </c>
      <c r="L318" s="5" t="str">
        <f t="shared" si="4"/>
        <v>Philadelphia</v>
      </c>
      <c r="M318" t="s">
        <v>132</v>
      </c>
      <c r="N318">
        <v>19143</v>
      </c>
      <c r="O318" t="s">
        <v>133</v>
      </c>
      <c r="P318" t="s">
        <v>1073</v>
      </c>
      <c r="Q318" t="s">
        <v>40</v>
      </c>
      <c r="R318" t="s">
        <v>61</v>
      </c>
      <c r="S318" t="s">
        <v>1074</v>
      </c>
      <c r="T318">
        <v>99.13600000000001</v>
      </c>
      <c r="U318">
        <v>4</v>
      </c>
      <c r="V318">
        <v>0.2</v>
      </c>
      <c r="W318">
        <v>8.674399999999995</v>
      </c>
    </row>
    <row r="319" spans="1:23" x14ac:dyDescent="0.3">
      <c r="A319">
        <v>318</v>
      </c>
      <c r="B319" t="s">
        <v>1075</v>
      </c>
      <c r="C319" s="2">
        <v>41947</v>
      </c>
      <c r="D319" s="2" t="str">
        <f>LEFT(orders[[#This Row],[Ship Date]],FIND("0",F319)-1)</f>
        <v>11</v>
      </c>
      <c r="E319" s="2" t="str">
        <f>RIGHT(orders[[#This Row],[Ship Date]],4)</f>
        <v>2014</v>
      </c>
      <c r="F319" s="4" t="s">
        <v>2132</v>
      </c>
      <c r="G319" t="s">
        <v>44</v>
      </c>
      <c r="H319" t="s">
        <v>1076</v>
      </c>
      <c r="I319" t="s">
        <v>1077</v>
      </c>
      <c r="J319" t="s">
        <v>93</v>
      </c>
      <c r="K319" s="5" t="s">
        <v>1904</v>
      </c>
      <c r="L319" s="5" t="str">
        <f t="shared" si="4"/>
        <v>New York City</v>
      </c>
      <c r="M319" t="s">
        <v>242</v>
      </c>
      <c r="N319">
        <v>10024</v>
      </c>
      <c r="O319" t="s">
        <v>133</v>
      </c>
      <c r="P319" t="s">
        <v>1078</v>
      </c>
      <c r="Q319" t="s">
        <v>27</v>
      </c>
      <c r="R319" t="s">
        <v>31</v>
      </c>
      <c r="S319" t="s">
        <v>1079</v>
      </c>
      <c r="T319">
        <v>135.88200000000001</v>
      </c>
      <c r="U319">
        <v>1</v>
      </c>
      <c r="V319">
        <v>0.1</v>
      </c>
      <c r="W319">
        <v>24.156800000000004</v>
      </c>
    </row>
    <row r="320" spans="1:23" x14ac:dyDescent="0.3">
      <c r="A320">
        <v>319</v>
      </c>
      <c r="B320" t="s">
        <v>1075</v>
      </c>
      <c r="C320" s="2">
        <v>41947</v>
      </c>
      <c r="D320" s="2" t="str">
        <f>LEFT(orders[[#This Row],[Ship Date]],FIND("0",F320)-1)</f>
        <v>11</v>
      </c>
      <c r="E320" s="2" t="str">
        <f>RIGHT(orders[[#This Row],[Ship Date]],4)</f>
        <v>2014</v>
      </c>
      <c r="F320" s="4" t="s">
        <v>2132</v>
      </c>
      <c r="G320" t="s">
        <v>44</v>
      </c>
      <c r="H320" t="s">
        <v>1076</v>
      </c>
      <c r="I320" t="s">
        <v>1077</v>
      </c>
      <c r="J320" t="s">
        <v>93</v>
      </c>
      <c r="K320" s="5" t="s">
        <v>1904</v>
      </c>
      <c r="L320" s="5" t="str">
        <f t="shared" si="4"/>
        <v>New York City</v>
      </c>
      <c r="M320" t="s">
        <v>242</v>
      </c>
      <c r="N320">
        <v>10024</v>
      </c>
      <c r="O320" t="s">
        <v>133</v>
      </c>
      <c r="P320" t="s">
        <v>1080</v>
      </c>
      <c r="Q320" t="s">
        <v>64</v>
      </c>
      <c r="R320" t="s">
        <v>627</v>
      </c>
      <c r="S320" t="s">
        <v>1081</v>
      </c>
      <c r="T320">
        <v>3991.98</v>
      </c>
      <c r="U320">
        <v>2</v>
      </c>
      <c r="V320">
        <v>0</v>
      </c>
      <c r="W320">
        <v>1995.99</v>
      </c>
    </row>
    <row r="321" spans="1:23" x14ac:dyDescent="0.3">
      <c r="A321">
        <v>320</v>
      </c>
      <c r="B321" t="s">
        <v>1075</v>
      </c>
      <c r="C321" s="2">
        <v>41947</v>
      </c>
      <c r="D321" s="2" t="str">
        <f>LEFT(orders[[#This Row],[Ship Date]],FIND("0",F321)-1)</f>
        <v>11</v>
      </c>
      <c r="E321" s="2" t="str">
        <f>RIGHT(orders[[#This Row],[Ship Date]],4)</f>
        <v>2014</v>
      </c>
      <c r="F321" s="4" t="s">
        <v>2132</v>
      </c>
      <c r="G321" t="s">
        <v>44</v>
      </c>
      <c r="H321" t="s">
        <v>1076</v>
      </c>
      <c r="I321" t="s">
        <v>1077</v>
      </c>
      <c r="J321" t="s">
        <v>93</v>
      </c>
      <c r="K321" s="5" t="s">
        <v>1904</v>
      </c>
      <c r="L321" s="5" t="str">
        <f t="shared" si="4"/>
        <v>New York City</v>
      </c>
      <c r="M321" t="s">
        <v>242</v>
      </c>
      <c r="N321">
        <v>10024</v>
      </c>
      <c r="O321" t="s">
        <v>133</v>
      </c>
      <c r="P321" t="s">
        <v>193</v>
      </c>
      <c r="Q321" t="s">
        <v>64</v>
      </c>
      <c r="R321" t="s">
        <v>65</v>
      </c>
      <c r="S321" t="s">
        <v>194</v>
      </c>
      <c r="T321">
        <v>275.94</v>
      </c>
      <c r="U321">
        <v>6</v>
      </c>
      <c r="V321">
        <v>0</v>
      </c>
      <c r="W321">
        <v>80.022599999999997</v>
      </c>
    </row>
    <row r="322" spans="1:23" x14ac:dyDescent="0.3">
      <c r="A322">
        <v>321</v>
      </c>
      <c r="B322" t="s">
        <v>1075</v>
      </c>
      <c r="C322" s="2">
        <v>41947</v>
      </c>
      <c r="D322" s="2" t="str">
        <f>LEFT(orders[[#This Row],[Ship Date]],FIND("0",F322)-1)</f>
        <v>11</v>
      </c>
      <c r="E322" s="2" t="str">
        <f>RIGHT(orders[[#This Row],[Ship Date]],4)</f>
        <v>2014</v>
      </c>
      <c r="F322" s="4" t="s">
        <v>2132</v>
      </c>
      <c r="G322" t="s">
        <v>44</v>
      </c>
      <c r="H322" t="s">
        <v>1076</v>
      </c>
      <c r="I322" t="s">
        <v>1077</v>
      </c>
      <c r="J322" t="s">
        <v>93</v>
      </c>
      <c r="K322" s="5" t="s">
        <v>1904</v>
      </c>
      <c r="L322" s="5" t="str">
        <f t="shared" ref="L322:L385" si="5">_xlfn.TEXTAFTER(K322,",")</f>
        <v>New York City</v>
      </c>
      <c r="M322" t="s">
        <v>242</v>
      </c>
      <c r="N322">
        <v>10024</v>
      </c>
      <c r="O322" t="s">
        <v>133</v>
      </c>
      <c r="P322" t="s">
        <v>1082</v>
      </c>
      <c r="Q322" t="s">
        <v>64</v>
      </c>
      <c r="R322" t="s">
        <v>145</v>
      </c>
      <c r="S322" t="s">
        <v>1083</v>
      </c>
      <c r="T322">
        <v>360</v>
      </c>
      <c r="U322">
        <v>4</v>
      </c>
      <c r="V322">
        <v>0</v>
      </c>
      <c r="W322">
        <v>129.6</v>
      </c>
    </row>
    <row r="323" spans="1:23" x14ac:dyDescent="0.3">
      <c r="A323">
        <v>322</v>
      </c>
      <c r="B323" t="s">
        <v>1075</v>
      </c>
      <c r="C323" s="2">
        <v>41947</v>
      </c>
      <c r="D323" s="2" t="str">
        <f>LEFT(orders[[#This Row],[Ship Date]],FIND("0",F323)-1)</f>
        <v>11</v>
      </c>
      <c r="E323" s="2" t="str">
        <f>RIGHT(orders[[#This Row],[Ship Date]],4)</f>
        <v>2014</v>
      </c>
      <c r="F323" s="4" t="s">
        <v>2132</v>
      </c>
      <c r="G323" t="s">
        <v>44</v>
      </c>
      <c r="H323" t="s">
        <v>1076</v>
      </c>
      <c r="I323" t="s">
        <v>1077</v>
      </c>
      <c r="J323" t="s">
        <v>93</v>
      </c>
      <c r="K323" s="5" t="s">
        <v>1904</v>
      </c>
      <c r="L323" s="5" t="str">
        <f t="shared" si="5"/>
        <v>New York City</v>
      </c>
      <c r="M323" t="s">
        <v>242</v>
      </c>
      <c r="N323">
        <v>10024</v>
      </c>
      <c r="O323" t="s">
        <v>133</v>
      </c>
      <c r="P323" t="s">
        <v>500</v>
      </c>
      <c r="Q323" t="s">
        <v>40</v>
      </c>
      <c r="R323" t="s">
        <v>52</v>
      </c>
      <c r="S323" t="s">
        <v>501</v>
      </c>
      <c r="T323">
        <v>43.57</v>
      </c>
      <c r="U323">
        <v>1</v>
      </c>
      <c r="V323">
        <v>0</v>
      </c>
      <c r="W323">
        <v>13.070999999999998</v>
      </c>
    </row>
    <row r="324" spans="1:23" x14ac:dyDescent="0.3">
      <c r="A324">
        <v>323</v>
      </c>
      <c r="B324" t="s">
        <v>1084</v>
      </c>
      <c r="C324" s="2">
        <v>41901</v>
      </c>
      <c r="D324" s="2" t="str">
        <f>LEFT(orders[[#This Row],[Ship Date]],FIND("0",F324)-1)</f>
        <v>9</v>
      </c>
      <c r="E324" s="2" t="str">
        <f>RIGHT(orders[[#This Row],[Ship Date]],4)</f>
        <v>2014</v>
      </c>
      <c r="F324" s="4" t="s">
        <v>2133</v>
      </c>
      <c r="G324" t="s">
        <v>44</v>
      </c>
      <c r="H324" t="s">
        <v>1085</v>
      </c>
      <c r="I324" t="s">
        <v>1086</v>
      </c>
      <c r="J324" t="s">
        <v>36</v>
      </c>
      <c r="K324" s="5" t="s">
        <v>1969</v>
      </c>
      <c r="L324" s="5" t="str">
        <f t="shared" si="5"/>
        <v>Long Beach</v>
      </c>
      <c r="M324" t="s">
        <v>37</v>
      </c>
      <c r="N324">
        <v>90805</v>
      </c>
      <c r="O324" t="s">
        <v>38</v>
      </c>
      <c r="P324" t="s">
        <v>1087</v>
      </c>
      <c r="Q324" t="s">
        <v>40</v>
      </c>
      <c r="R324" t="s">
        <v>244</v>
      </c>
      <c r="S324" t="s">
        <v>1088</v>
      </c>
      <c r="T324">
        <v>7.16</v>
      </c>
      <c r="U324">
        <v>2</v>
      </c>
      <c r="V324">
        <v>0</v>
      </c>
      <c r="W324">
        <v>3.58</v>
      </c>
    </row>
    <row r="325" spans="1:23" x14ac:dyDescent="0.3">
      <c r="A325">
        <v>324</v>
      </c>
      <c r="B325" t="s">
        <v>1089</v>
      </c>
      <c r="C325" s="2">
        <v>42483</v>
      </c>
      <c r="D325" s="2" t="str">
        <f>LEFT(orders[[#This Row],[Ship Date]],FIND("0",F325)-1)</f>
        <v>4</v>
      </c>
      <c r="E325" s="2" t="str">
        <f>RIGHT(orders[[#This Row],[Ship Date]],4)</f>
        <v>2016</v>
      </c>
      <c r="F325" s="4" t="s">
        <v>2134</v>
      </c>
      <c r="G325" t="s">
        <v>44</v>
      </c>
      <c r="H325" t="s">
        <v>1090</v>
      </c>
      <c r="I325" t="s">
        <v>1091</v>
      </c>
      <c r="J325" t="s">
        <v>36</v>
      </c>
      <c r="K325" s="5" t="s">
        <v>1970</v>
      </c>
      <c r="L325" s="5" t="str">
        <f t="shared" si="5"/>
        <v>Hesperia</v>
      </c>
      <c r="M325" t="s">
        <v>37</v>
      </c>
      <c r="N325">
        <v>92345</v>
      </c>
      <c r="O325" t="s">
        <v>38</v>
      </c>
      <c r="P325" t="s">
        <v>1009</v>
      </c>
      <c r="Q325" t="s">
        <v>40</v>
      </c>
      <c r="R325" t="s">
        <v>68</v>
      </c>
      <c r="S325" t="s">
        <v>1010</v>
      </c>
      <c r="T325">
        <v>251.52</v>
      </c>
      <c r="U325">
        <v>6</v>
      </c>
      <c r="V325">
        <v>0.2</v>
      </c>
      <c r="W325">
        <v>81.744</v>
      </c>
    </row>
    <row r="326" spans="1:23" x14ac:dyDescent="0.3">
      <c r="A326">
        <v>325</v>
      </c>
      <c r="B326" t="s">
        <v>1089</v>
      </c>
      <c r="C326" s="2">
        <v>42483</v>
      </c>
      <c r="D326" s="2" t="str">
        <f>LEFT(orders[[#This Row],[Ship Date]],FIND("0",F326)-1)</f>
        <v>4</v>
      </c>
      <c r="E326" s="2" t="str">
        <f>RIGHT(orders[[#This Row],[Ship Date]],4)</f>
        <v>2016</v>
      </c>
      <c r="F326" s="4" t="s">
        <v>2134</v>
      </c>
      <c r="G326" t="s">
        <v>44</v>
      </c>
      <c r="H326" t="s">
        <v>1090</v>
      </c>
      <c r="I326" t="s">
        <v>1091</v>
      </c>
      <c r="J326" t="s">
        <v>36</v>
      </c>
      <c r="K326" s="5" t="s">
        <v>1970</v>
      </c>
      <c r="L326" s="5" t="str">
        <f t="shared" si="5"/>
        <v>Hesperia</v>
      </c>
      <c r="M326" t="s">
        <v>37</v>
      </c>
      <c r="N326">
        <v>92345</v>
      </c>
      <c r="O326" t="s">
        <v>38</v>
      </c>
      <c r="P326" t="s">
        <v>1092</v>
      </c>
      <c r="Q326" t="s">
        <v>64</v>
      </c>
      <c r="R326" t="s">
        <v>145</v>
      </c>
      <c r="S326" t="s">
        <v>1093</v>
      </c>
      <c r="T326">
        <v>99.99</v>
      </c>
      <c r="U326">
        <v>1</v>
      </c>
      <c r="V326">
        <v>0</v>
      </c>
      <c r="W326">
        <v>34.996499999999997</v>
      </c>
    </row>
    <row r="327" spans="1:23" x14ac:dyDescent="0.3">
      <c r="A327">
        <v>326</v>
      </c>
      <c r="B327" t="s">
        <v>1094</v>
      </c>
      <c r="C327" s="2">
        <v>43042</v>
      </c>
      <c r="D327" s="2" t="str">
        <f>LEFT(orders[[#This Row],[Ship Date]],FIND("0",F327)-1)</f>
        <v>11</v>
      </c>
      <c r="E327" s="2" t="str">
        <f>RIGHT(orders[[#This Row],[Ship Date]],4)</f>
        <v>2017</v>
      </c>
      <c r="F327" s="4" t="s">
        <v>2135</v>
      </c>
      <c r="G327" t="s">
        <v>20</v>
      </c>
      <c r="H327" t="s">
        <v>1095</v>
      </c>
      <c r="I327" t="s">
        <v>1096</v>
      </c>
      <c r="J327" t="s">
        <v>36</v>
      </c>
      <c r="K327" s="5" t="s">
        <v>1971</v>
      </c>
      <c r="L327" s="5" t="str">
        <f t="shared" si="5"/>
        <v>Murfreesboro</v>
      </c>
      <c r="M327" t="s">
        <v>304</v>
      </c>
      <c r="N327">
        <v>37130</v>
      </c>
      <c r="O327" t="s">
        <v>25</v>
      </c>
      <c r="P327" t="s">
        <v>1097</v>
      </c>
      <c r="Q327" t="s">
        <v>27</v>
      </c>
      <c r="R327" t="s">
        <v>58</v>
      </c>
      <c r="S327" t="s">
        <v>1098</v>
      </c>
      <c r="T327">
        <v>15.991999999999999</v>
      </c>
      <c r="U327">
        <v>1</v>
      </c>
      <c r="V327">
        <v>0.2</v>
      </c>
      <c r="W327">
        <v>0.99949999999999894</v>
      </c>
    </row>
    <row r="328" spans="1:23" x14ac:dyDescent="0.3">
      <c r="A328">
        <v>327</v>
      </c>
      <c r="B328" t="s">
        <v>1099</v>
      </c>
      <c r="C328" s="2">
        <v>42612</v>
      </c>
      <c r="D328" s="2" t="str">
        <f>LEFT(orders[[#This Row],[Ship Date]],FIND("0",F328)-1)</f>
        <v>9</v>
      </c>
      <c r="E328" s="2" t="str">
        <f>RIGHT(orders[[#This Row],[Ship Date]],4)</f>
        <v>2016</v>
      </c>
      <c r="F328" s="4" t="s">
        <v>2136</v>
      </c>
      <c r="G328" t="s">
        <v>171</v>
      </c>
      <c r="H328" t="s">
        <v>1100</v>
      </c>
      <c r="I328" t="s">
        <v>1101</v>
      </c>
      <c r="J328" t="s">
        <v>23</v>
      </c>
      <c r="K328" s="5" t="s">
        <v>1894</v>
      </c>
      <c r="L328" s="5" t="str">
        <f t="shared" si="5"/>
        <v>Philadelphia</v>
      </c>
      <c r="M328" t="s">
        <v>132</v>
      </c>
      <c r="N328">
        <v>19143</v>
      </c>
      <c r="O328" t="s">
        <v>133</v>
      </c>
      <c r="P328" t="s">
        <v>1102</v>
      </c>
      <c r="Q328" t="s">
        <v>64</v>
      </c>
      <c r="R328" t="s">
        <v>65</v>
      </c>
      <c r="S328" t="s">
        <v>1103</v>
      </c>
      <c r="T328">
        <v>290.89800000000002</v>
      </c>
      <c r="U328">
        <v>3</v>
      </c>
      <c r="V328">
        <v>0.4</v>
      </c>
      <c r="W328">
        <v>-67.876199999999997</v>
      </c>
    </row>
    <row r="329" spans="1:23" x14ac:dyDescent="0.3">
      <c r="A329">
        <v>328</v>
      </c>
      <c r="B329" t="s">
        <v>1099</v>
      </c>
      <c r="C329" s="2">
        <v>42612</v>
      </c>
      <c r="D329" s="2" t="str">
        <f>LEFT(orders[[#This Row],[Ship Date]],FIND("0",F329)-1)</f>
        <v>9</v>
      </c>
      <c r="E329" s="2" t="str">
        <f>RIGHT(orders[[#This Row],[Ship Date]],4)</f>
        <v>2016</v>
      </c>
      <c r="F329" s="4" t="s">
        <v>2136</v>
      </c>
      <c r="G329" t="s">
        <v>171</v>
      </c>
      <c r="H329" t="s">
        <v>1100</v>
      </c>
      <c r="I329" t="s">
        <v>1101</v>
      </c>
      <c r="J329" t="s">
        <v>23</v>
      </c>
      <c r="K329" s="5" t="s">
        <v>1894</v>
      </c>
      <c r="L329" s="5" t="str">
        <f t="shared" si="5"/>
        <v>Philadelphia</v>
      </c>
      <c r="M329" t="s">
        <v>132</v>
      </c>
      <c r="N329">
        <v>19143</v>
      </c>
      <c r="O329" t="s">
        <v>133</v>
      </c>
      <c r="P329" t="s">
        <v>1104</v>
      </c>
      <c r="Q329" t="s">
        <v>40</v>
      </c>
      <c r="R329" t="s">
        <v>52</v>
      </c>
      <c r="S329" t="s">
        <v>1105</v>
      </c>
      <c r="T329">
        <v>54.224000000000004</v>
      </c>
      <c r="U329">
        <v>2</v>
      </c>
      <c r="V329">
        <v>0.2</v>
      </c>
      <c r="W329">
        <v>3.3889999999999993</v>
      </c>
    </row>
    <row r="330" spans="1:23" x14ac:dyDescent="0.3">
      <c r="A330">
        <v>329</v>
      </c>
      <c r="B330" t="s">
        <v>1099</v>
      </c>
      <c r="C330" s="2">
        <v>42612</v>
      </c>
      <c r="D330" s="2" t="str">
        <f>LEFT(orders[[#This Row],[Ship Date]],FIND("0",F330)-1)</f>
        <v>9</v>
      </c>
      <c r="E330" s="2" t="str">
        <f>RIGHT(orders[[#This Row],[Ship Date]],4)</f>
        <v>2016</v>
      </c>
      <c r="F330" s="4" t="s">
        <v>2136</v>
      </c>
      <c r="G330" t="s">
        <v>171</v>
      </c>
      <c r="H330" t="s">
        <v>1100</v>
      </c>
      <c r="I330" t="s">
        <v>1101</v>
      </c>
      <c r="J330" t="s">
        <v>23</v>
      </c>
      <c r="K330" s="5" t="s">
        <v>1894</v>
      </c>
      <c r="L330" s="5" t="str">
        <f t="shared" si="5"/>
        <v>Philadelphia</v>
      </c>
      <c r="M330" t="s">
        <v>132</v>
      </c>
      <c r="N330">
        <v>19143</v>
      </c>
      <c r="O330" t="s">
        <v>133</v>
      </c>
      <c r="P330" t="s">
        <v>1106</v>
      </c>
      <c r="Q330" t="s">
        <v>27</v>
      </c>
      <c r="R330" t="s">
        <v>31</v>
      </c>
      <c r="S330" t="s">
        <v>1107</v>
      </c>
      <c r="T330">
        <v>786.74400000000003</v>
      </c>
      <c r="U330">
        <v>4</v>
      </c>
      <c r="V330">
        <v>0.3</v>
      </c>
      <c r="W330">
        <v>-258.50160000000011</v>
      </c>
    </row>
    <row r="331" spans="1:23" x14ac:dyDescent="0.3">
      <c r="A331">
        <v>330</v>
      </c>
      <c r="B331" t="s">
        <v>1099</v>
      </c>
      <c r="C331" s="2">
        <v>42612</v>
      </c>
      <c r="D331" s="2" t="str">
        <f>LEFT(orders[[#This Row],[Ship Date]],FIND("0",F331)-1)</f>
        <v>9</v>
      </c>
      <c r="E331" s="2" t="str">
        <f>RIGHT(orders[[#This Row],[Ship Date]],4)</f>
        <v>2016</v>
      </c>
      <c r="F331" s="4" t="s">
        <v>2136</v>
      </c>
      <c r="G331" t="s">
        <v>171</v>
      </c>
      <c r="H331" t="s">
        <v>1100</v>
      </c>
      <c r="I331" t="s">
        <v>1101</v>
      </c>
      <c r="J331" t="s">
        <v>23</v>
      </c>
      <c r="K331" s="5" t="s">
        <v>1894</v>
      </c>
      <c r="L331" s="5" t="str">
        <f t="shared" si="5"/>
        <v>Philadelphia</v>
      </c>
      <c r="M331" t="s">
        <v>132</v>
      </c>
      <c r="N331">
        <v>19143</v>
      </c>
      <c r="O331" t="s">
        <v>133</v>
      </c>
      <c r="P331" t="s">
        <v>1108</v>
      </c>
      <c r="Q331" t="s">
        <v>40</v>
      </c>
      <c r="R331" t="s">
        <v>41</v>
      </c>
      <c r="S331" t="s">
        <v>1109</v>
      </c>
      <c r="T331">
        <v>100.24000000000001</v>
      </c>
      <c r="U331">
        <v>10</v>
      </c>
      <c r="V331">
        <v>0.2</v>
      </c>
      <c r="W331">
        <v>33.830999999999989</v>
      </c>
    </row>
    <row r="332" spans="1:23" x14ac:dyDescent="0.3">
      <c r="A332">
        <v>331</v>
      </c>
      <c r="B332" t="s">
        <v>1099</v>
      </c>
      <c r="C332" s="2">
        <v>42612</v>
      </c>
      <c r="D332" s="2" t="str">
        <f>LEFT(orders[[#This Row],[Ship Date]],FIND("0",F332)-1)</f>
        <v>9</v>
      </c>
      <c r="E332" s="2" t="str">
        <f>RIGHT(orders[[#This Row],[Ship Date]],4)</f>
        <v>2016</v>
      </c>
      <c r="F332" s="4" t="s">
        <v>2136</v>
      </c>
      <c r="G332" t="s">
        <v>171</v>
      </c>
      <c r="H332" t="s">
        <v>1100</v>
      </c>
      <c r="I332" t="s">
        <v>1101</v>
      </c>
      <c r="J332" t="s">
        <v>23</v>
      </c>
      <c r="K332" s="5" t="s">
        <v>1894</v>
      </c>
      <c r="L332" s="5" t="str">
        <f t="shared" si="5"/>
        <v>Philadelphia</v>
      </c>
      <c r="M332" t="s">
        <v>132</v>
      </c>
      <c r="N332">
        <v>19143</v>
      </c>
      <c r="O332" t="s">
        <v>133</v>
      </c>
      <c r="P332" t="s">
        <v>1110</v>
      </c>
      <c r="Q332" t="s">
        <v>40</v>
      </c>
      <c r="R332" t="s">
        <v>68</v>
      </c>
      <c r="S332" t="s">
        <v>1111</v>
      </c>
      <c r="T332">
        <v>37.76400000000001</v>
      </c>
      <c r="U332">
        <v>6</v>
      </c>
      <c r="V332">
        <v>0.7</v>
      </c>
      <c r="W332">
        <v>-27.693600000000004</v>
      </c>
    </row>
    <row r="333" spans="1:23" x14ac:dyDescent="0.3">
      <c r="A333">
        <v>332</v>
      </c>
      <c r="B333" t="s">
        <v>1112</v>
      </c>
      <c r="C333" s="2">
        <v>42485</v>
      </c>
      <c r="D333" s="2" t="str">
        <f>LEFT(orders[[#This Row],[Ship Date]],FIND("0",F333)-1)</f>
        <v>4</v>
      </c>
      <c r="E333" s="2" t="str">
        <f>RIGHT(orders[[#This Row],[Ship Date]],4)</f>
        <v>2016</v>
      </c>
      <c r="F333" s="4" t="s">
        <v>2137</v>
      </c>
      <c r="G333" t="s">
        <v>20</v>
      </c>
      <c r="H333" t="s">
        <v>1113</v>
      </c>
      <c r="I333" t="s">
        <v>1114</v>
      </c>
      <c r="J333" t="s">
        <v>23</v>
      </c>
      <c r="K333" s="5" t="s">
        <v>1894</v>
      </c>
      <c r="L333" s="5" t="str">
        <f t="shared" si="5"/>
        <v>Philadelphia</v>
      </c>
      <c r="M333" t="s">
        <v>132</v>
      </c>
      <c r="N333">
        <v>19134</v>
      </c>
      <c r="O333" t="s">
        <v>133</v>
      </c>
      <c r="P333" t="s">
        <v>1115</v>
      </c>
      <c r="Q333" t="s">
        <v>64</v>
      </c>
      <c r="R333" t="s">
        <v>65</v>
      </c>
      <c r="S333" t="s">
        <v>1116</v>
      </c>
      <c r="T333">
        <v>82.8</v>
      </c>
      <c r="U333">
        <v>2</v>
      </c>
      <c r="V333">
        <v>0.4</v>
      </c>
      <c r="W333">
        <v>-20.700000000000003</v>
      </c>
    </row>
    <row r="334" spans="1:23" x14ac:dyDescent="0.3">
      <c r="A334">
        <v>333</v>
      </c>
      <c r="B334" t="s">
        <v>1112</v>
      </c>
      <c r="C334" s="2">
        <v>42485</v>
      </c>
      <c r="D334" s="2" t="str">
        <f>LEFT(orders[[#This Row],[Ship Date]],FIND("0",F334)-1)</f>
        <v>4</v>
      </c>
      <c r="E334" s="2" t="str">
        <f>RIGHT(orders[[#This Row],[Ship Date]],4)</f>
        <v>2016</v>
      </c>
      <c r="F334" s="4" t="s">
        <v>2137</v>
      </c>
      <c r="G334" t="s">
        <v>20</v>
      </c>
      <c r="H334" t="s">
        <v>1113</v>
      </c>
      <c r="I334" t="s">
        <v>1114</v>
      </c>
      <c r="J334" t="s">
        <v>23</v>
      </c>
      <c r="K334" s="5" t="s">
        <v>1894</v>
      </c>
      <c r="L334" s="5" t="str">
        <f t="shared" si="5"/>
        <v>Philadelphia</v>
      </c>
      <c r="M334" t="s">
        <v>132</v>
      </c>
      <c r="N334">
        <v>19134</v>
      </c>
      <c r="O334" t="s">
        <v>133</v>
      </c>
      <c r="P334" t="s">
        <v>1117</v>
      </c>
      <c r="Q334" t="s">
        <v>40</v>
      </c>
      <c r="R334" t="s">
        <v>68</v>
      </c>
      <c r="S334" t="s">
        <v>1118</v>
      </c>
      <c r="T334">
        <v>20.724000000000004</v>
      </c>
      <c r="U334">
        <v>2</v>
      </c>
      <c r="V334">
        <v>0.7</v>
      </c>
      <c r="W334">
        <v>-13.815999999999995</v>
      </c>
    </row>
    <row r="335" spans="1:23" x14ac:dyDescent="0.3">
      <c r="A335">
        <v>334</v>
      </c>
      <c r="B335" t="s">
        <v>1112</v>
      </c>
      <c r="C335" s="2">
        <v>42485</v>
      </c>
      <c r="D335" s="2" t="str">
        <f>LEFT(orders[[#This Row],[Ship Date]],FIND("0",F335)-1)</f>
        <v>4</v>
      </c>
      <c r="E335" s="2" t="str">
        <f>RIGHT(orders[[#This Row],[Ship Date]],4)</f>
        <v>2016</v>
      </c>
      <c r="F335" s="4" t="s">
        <v>2137</v>
      </c>
      <c r="G335" t="s">
        <v>20</v>
      </c>
      <c r="H335" t="s">
        <v>1113</v>
      </c>
      <c r="I335" t="s">
        <v>1114</v>
      </c>
      <c r="J335" t="s">
        <v>23</v>
      </c>
      <c r="K335" s="5" t="s">
        <v>1894</v>
      </c>
      <c r="L335" s="5" t="str">
        <f t="shared" si="5"/>
        <v>Philadelphia</v>
      </c>
      <c r="M335" t="s">
        <v>132</v>
      </c>
      <c r="N335">
        <v>19134</v>
      </c>
      <c r="O335" t="s">
        <v>133</v>
      </c>
      <c r="P335" t="s">
        <v>1119</v>
      </c>
      <c r="Q335" t="s">
        <v>40</v>
      </c>
      <c r="R335" t="s">
        <v>68</v>
      </c>
      <c r="S335" t="s">
        <v>1120</v>
      </c>
      <c r="T335">
        <v>4.8960000000000008</v>
      </c>
      <c r="U335">
        <v>3</v>
      </c>
      <c r="V335">
        <v>0.7</v>
      </c>
      <c r="W335">
        <v>-3.4271999999999991</v>
      </c>
    </row>
    <row r="336" spans="1:23" x14ac:dyDescent="0.3">
      <c r="A336">
        <v>335</v>
      </c>
      <c r="B336" t="s">
        <v>1121</v>
      </c>
      <c r="C336" s="2">
        <v>42248</v>
      </c>
      <c r="D336" s="2" t="str">
        <f>LEFT(orders[[#This Row],[Ship Date]],FIND("0",F336)-1)</f>
        <v>9</v>
      </c>
      <c r="E336" s="2" t="str">
        <f>RIGHT(orders[[#This Row],[Ship Date]],4)</f>
        <v>2015</v>
      </c>
      <c r="F336" s="4" t="s">
        <v>2138</v>
      </c>
      <c r="G336" t="s">
        <v>20</v>
      </c>
      <c r="H336" t="s">
        <v>1122</v>
      </c>
      <c r="I336" t="s">
        <v>1123</v>
      </c>
      <c r="J336" t="s">
        <v>23</v>
      </c>
      <c r="K336" s="5" t="s">
        <v>1885</v>
      </c>
      <c r="L336" s="5" t="str">
        <f t="shared" si="5"/>
        <v>Los Angeles</v>
      </c>
      <c r="M336" t="s">
        <v>37</v>
      </c>
      <c r="N336">
        <v>90045</v>
      </c>
      <c r="O336" t="s">
        <v>38</v>
      </c>
      <c r="P336" t="s">
        <v>1124</v>
      </c>
      <c r="Q336" t="s">
        <v>40</v>
      </c>
      <c r="R336" t="s">
        <v>68</v>
      </c>
      <c r="S336" t="s">
        <v>1125</v>
      </c>
      <c r="T336">
        <v>4.7520000000000007</v>
      </c>
      <c r="U336">
        <v>1</v>
      </c>
      <c r="V336">
        <v>0.2</v>
      </c>
      <c r="W336">
        <v>1.6037999999999997</v>
      </c>
    </row>
    <row r="337" spans="1:23" x14ac:dyDescent="0.3">
      <c r="A337">
        <v>336</v>
      </c>
      <c r="B337" t="s">
        <v>1121</v>
      </c>
      <c r="C337" s="2">
        <v>42248</v>
      </c>
      <c r="D337" s="2" t="str">
        <f>LEFT(orders[[#This Row],[Ship Date]],FIND("0",F337)-1)</f>
        <v>9</v>
      </c>
      <c r="E337" s="2" t="str">
        <f>RIGHT(orders[[#This Row],[Ship Date]],4)</f>
        <v>2015</v>
      </c>
      <c r="F337" s="4" t="s">
        <v>2138</v>
      </c>
      <c r="G337" t="s">
        <v>20</v>
      </c>
      <c r="H337" t="s">
        <v>1122</v>
      </c>
      <c r="I337" t="s">
        <v>1123</v>
      </c>
      <c r="J337" t="s">
        <v>23</v>
      </c>
      <c r="K337" s="5" t="s">
        <v>1885</v>
      </c>
      <c r="L337" s="5" t="str">
        <f t="shared" si="5"/>
        <v>Los Angeles</v>
      </c>
      <c r="M337" t="s">
        <v>37</v>
      </c>
      <c r="N337">
        <v>90045</v>
      </c>
      <c r="O337" t="s">
        <v>38</v>
      </c>
      <c r="P337" t="s">
        <v>1126</v>
      </c>
      <c r="Q337" t="s">
        <v>64</v>
      </c>
      <c r="R337" t="s">
        <v>1127</v>
      </c>
      <c r="S337" t="s">
        <v>1128</v>
      </c>
      <c r="T337">
        <v>959.98400000000004</v>
      </c>
      <c r="U337">
        <v>2</v>
      </c>
      <c r="V337">
        <v>0.2</v>
      </c>
      <c r="W337">
        <v>335.99440000000004</v>
      </c>
    </row>
    <row r="338" spans="1:23" x14ac:dyDescent="0.3">
      <c r="A338">
        <v>337</v>
      </c>
      <c r="B338" t="s">
        <v>1121</v>
      </c>
      <c r="C338" s="2">
        <v>42248</v>
      </c>
      <c r="D338" s="2" t="str">
        <f>LEFT(orders[[#This Row],[Ship Date]],FIND("0",F338)-1)</f>
        <v>9</v>
      </c>
      <c r="E338" s="2" t="str">
        <f>RIGHT(orders[[#This Row],[Ship Date]],4)</f>
        <v>2015</v>
      </c>
      <c r="F338" s="4" t="s">
        <v>2138</v>
      </c>
      <c r="G338" t="s">
        <v>20</v>
      </c>
      <c r="H338" t="s">
        <v>1122</v>
      </c>
      <c r="I338" t="s">
        <v>1123</v>
      </c>
      <c r="J338" t="s">
        <v>23</v>
      </c>
      <c r="K338" s="5" t="s">
        <v>1885</v>
      </c>
      <c r="L338" s="5" t="str">
        <f t="shared" si="5"/>
        <v>Los Angeles</v>
      </c>
      <c r="M338" t="s">
        <v>37</v>
      </c>
      <c r="N338">
        <v>90045</v>
      </c>
      <c r="O338" t="s">
        <v>38</v>
      </c>
      <c r="P338" t="s">
        <v>1129</v>
      </c>
      <c r="Q338" t="s">
        <v>40</v>
      </c>
      <c r="R338" t="s">
        <v>68</v>
      </c>
      <c r="S338" t="s">
        <v>1130</v>
      </c>
      <c r="T338">
        <v>14.368000000000002</v>
      </c>
      <c r="U338">
        <v>4</v>
      </c>
      <c r="V338">
        <v>0.2</v>
      </c>
      <c r="W338">
        <v>4.4899999999999984</v>
      </c>
    </row>
    <row r="339" spans="1:23" x14ac:dyDescent="0.3">
      <c r="A339">
        <v>338</v>
      </c>
      <c r="B339" t="s">
        <v>1131</v>
      </c>
      <c r="C339" s="2">
        <v>41832</v>
      </c>
      <c r="D339" s="2" t="str">
        <f>LEFT(orders[[#This Row],[Ship Date]],FIND("0",F339)-1)</f>
        <v>7</v>
      </c>
      <c r="E339" s="2" t="str">
        <f>RIGHT(orders[[#This Row],[Ship Date]],4)</f>
        <v>2014</v>
      </c>
      <c r="F339" s="4" t="s">
        <v>2139</v>
      </c>
      <c r="G339" t="s">
        <v>44</v>
      </c>
      <c r="H339" t="s">
        <v>1132</v>
      </c>
      <c r="I339" t="s">
        <v>1133</v>
      </c>
      <c r="J339" t="s">
        <v>36</v>
      </c>
      <c r="K339" s="5" t="s">
        <v>1892</v>
      </c>
      <c r="L339" s="5" t="str">
        <f t="shared" si="5"/>
        <v>San Francisco</v>
      </c>
      <c r="M339" t="s">
        <v>37</v>
      </c>
      <c r="N339">
        <v>94122</v>
      </c>
      <c r="O339" t="s">
        <v>38</v>
      </c>
      <c r="P339" t="s">
        <v>1134</v>
      </c>
      <c r="Q339" t="s">
        <v>40</v>
      </c>
      <c r="R339" t="s">
        <v>68</v>
      </c>
      <c r="S339" t="s">
        <v>1135</v>
      </c>
      <c r="T339">
        <v>7.7120000000000006</v>
      </c>
      <c r="U339">
        <v>2</v>
      </c>
      <c r="V339">
        <v>0.2</v>
      </c>
      <c r="W339">
        <v>2.7956000000000003</v>
      </c>
    </row>
    <row r="340" spans="1:23" x14ac:dyDescent="0.3">
      <c r="A340">
        <v>339</v>
      </c>
      <c r="B340" t="s">
        <v>1131</v>
      </c>
      <c r="C340" s="2">
        <v>41832</v>
      </c>
      <c r="D340" s="2" t="str">
        <f>LEFT(orders[[#This Row],[Ship Date]],FIND("0",F340)-1)</f>
        <v>7</v>
      </c>
      <c r="E340" s="2" t="str">
        <f>RIGHT(orders[[#This Row],[Ship Date]],4)</f>
        <v>2014</v>
      </c>
      <c r="F340" s="4" t="s">
        <v>2139</v>
      </c>
      <c r="G340" t="s">
        <v>44</v>
      </c>
      <c r="H340" t="s">
        <v>1132</v>
      </c>
      <c r="I340" t="s">
        <v>1133</v>
      </c>
      <c r="J340" t="s">
        <v>36</v>
      </c>
      <c r="K340" s="5" t="s">
        <v>1892</v>
      </c>
      <c r="L340" s="5" t="str">
        <f t="shared" si="5"/>
        <v>San Francisco</v>
      </c>
      <c r="M340" t="s">
        <v>37</v>
      </c>
      <c r="N340">
        <v>94122</v>
      </c>
      <c r="O340" t="s">
        <v>38</v>
      </c>
      <c r="P340" t="s">
        <v>1136</v>
      </c>
      <c r="Q340" t="s">
        <v>27</v>
      </c>
      <c r="R340" t="s">
        <v>49</v>
      </c>
      <c r="S340" t="s">
        <v>1137</v>
      </c>
      <c r="T340">
        <v>698.35200000000009</v>
      </c>
      <c r="U340">
        <v>3</v>
      </c>
      <c r="V340">
        <v>0.2</v>
      </c>
      <c r="W340">
        <v>-17.458800000000053</v>
      </c>
    </row>
    <row r="341" spans="1:23" x14ac:dyDescent="0.3">
      <c r="A341">
        <v>340</v>
      </c>
      <c r="B341" t="s">
        <v>1138</v>
      </c>
      <c r="C341" s="2">
        <v>42177</v>
      </c>
      <c r="D341" s="2" t="str">
        <f>LEFT(orders[[#This Row],[Ship Date]],FIND("0",F341)-1)</f>
        <v>6</v>
      </c>
      <c r="E341" s="2" t="str">
        <f>RIGHT(orders[[#This Row],[Ship Date]],4)</f>
        <v>2015</v>
      </c>
      <c r="F341" s="4" t="s">
        <v>2140</v>
      </c>
      <c r="G341" t="s">
        <v>20</v>
      </c>
      <c r="H341" t="s">
        <v>845</v>
      </c>
      <c r="I341" t="s">
        <v>846</v>
      </c>
      <c r="J341" t="s">
        <v>23</v>
      </c>
      <c r="K341" s="5" t="s">
        <v>1972</v>
      </c>
      <c r="L341" s="5" t="str">
        <f t="shared" si="5"/>
        <v>Layton</v>
      </c>
      <c r="M341" t="s">
        <v>109</v>
      </c>
      <c r="N341">
        <v>84041</v>
      </c>
      <c r="O341" t="s">
        <v>38</v>
      </c>
      <c r="P341" t="s">
        <v>1139</v>
      </c>
      <c r="Q341" t="s">
        <v>40</v>
      </c>
      <c r="R341" t="s">
        <v>244</v>
      </c>
      <c r="S341" t="s">
        <v>1140</v>
      </c>
      <c r="T341">
        <v>4.96</v>
      </c>
      <c r="U341">
        <v>4</v>
      </c>
      <c r="V341">
        <v>0</v>
      </c>
      <c r="W341">
        <v>2.3311999999999999</v>
      </c>
    </row>
    <row r="342" spans="1:23" x14ac:dyDescent="0.3">
      <c r="A342">
        <v>341</v>
      </c>
      <c r="B342" t="s">
        <v>1141</v>
      </c>
      <c r="C342" s="2">
        <v>41742</v>
      </c>
      <c r="D342" s="2" t="str">
        <f>LEFT(orders[[#This Row],[Ship Date]],FIND("0",F342)-1)</f>
        <v>4</v>
      </c>
      <c r="E342" s="2" t="str">
        <f>RIGHT(orders[[#This Row],[Ship Date]],4)</f>
        <v>2014</v>
      </c>
      <c r="F342" s="4" t="s">
        <v>2141</v>
      </c>
      <c r="G342" t="s">
        <v>20</v>
      </c>
      <c r="H342" t="s">
        <v>534</v>
      </c>
      <c r="I342" t="s">
        <v>535</v>
      </c>
      <c r="J342" t="s">
        <v>36</v>
      </c>
      <c r="K342" s="5" t="s">
        <v>1894</v>
      </c>
      <c r="L342" s="5" t="str">
        <f t="shared" si="5"/>
        <v>Philadelphia</v>
      </c>
      <c r="M342" t="s">
        <v>132</v>
      </c>
      <c r="N342">
        <v>19140</v>
      </c>
      <c r="O342" t="s">
        <v>133</v>
      </c>
      <c r="P342" t="s">
        <v>1142</v>
      </c>
      <c r="Q342" t="s">
        <v>40</v>
      </c>
      <c r="R342" t="s">
        <v>61</v>
      </c>
      <c r="S342" t="s">
        <v>1143</v>
      </c>
      <c r="T342">
        <v>17.856000000000002</v>
      </c>
      <c r="U342">
        <v>4</v>
      </c>
      <c r="V342">
        <v>0.2</v>
      </c>
      <c r="W342">
        <v>1.1159999999999979</v>
      </c>
    </row>
    <row r="343" spans="1:23" x14ac:dyDescent="0.3">
      <c r="A343">
        <v>342</v>
      </c>
      <c r="B343" t="s">
        <v>1141</v>
      </c>
      <c r="C343" s="2">
        <v>41742</v>
      </c>
      <c r="D343" s="2" t="str">
        <f>LEFT(orders[[#This Row],[Ship Date]],FIND("0",F343)-1)</f>
        <v>4</v>
      </c>
      <c r="E343" s="2" t="str">
        <f>RIGHT(orders[[#This Row],[Ship Date]],4)</f>
        <v>2014</v>
      </c>
      <c r="F343" s="4" t="s">
        <v>2141</v>
      </c>
      <c r="G343" t="s">
        <v>20</v>
      </c>
      <c r="H343" t="s">
        <v>534</v>
      </c>
      <c r="I343" t="s">
        <v>535</v>
      </c>
      <c r="J343" t="s">
        <v>36</v>
      </c>
      <c r="K343" s="5" t="s">
        <v>1894</v>
      </c>
      <c r="L343" s="5" t="str">
        <f t="shared" si="5"/>
        <v>Philadelphia</v>
      </c>
      <c r="M343" t="s">
        <v>132</v>
      </c>
      <c r="N343">
        <v>19140</v>
      </c>
      <c r="O343" t="s">
        <v>133</v>
      </c>
      <c r="P343" t="s">
        <v>88</v>
      </c>
      <c r="Q343" t="s">
        <v>40</v>
      </c>
      <c r="R343" t="s">
        <v>68</v>
      </c>
      <c r="S343" t="s">
        <v>89</v>
      </c>
      <c r="T343">
        <v>509.97000000000008</v>
      </c>
      <c r="U343">
        <v>10</v>
      </c>
      <c r="V343">
        <v>0.7</v>
      </c>
      <c r="W343">
        <v>-407.97599999999989</v>
      </c>
    </row>
    <row r="344" spans="1:23" x14ac:dyDescent="0.3">
      <c r="A344">
        <v>343</v>
      </c>
      <c r="B344" t="s">
        <v>1141</v>
      </c>
      <c r="C344" s="2">
        <v>41742</v>
      </c>
      <c r="D344" s="2" t="str">
        <f>LEFT(orders[[#This Row],[Ship Date]],FIND("0",F344)-1)</f>
        <v>4</v>
      </c>
      <c r="E344" s="2" t="str">
        <f>RIGHT(orders[[#This Row],[Ship Date]],4)</f>
        <v>2014</v>
      </c>
      <c r="F344" s="4" t="s">
        <v>2141</v>
      </c>
      <c r="G344" t="s">
        <v>20</v>
      </c>
      <c r="H344" t="s">
        <v>534</v>
      </c>
      <c r="I344" t="s">
        <v>535</v>
      </c>
      <c r="J344" t="s">
        <v>36</v>
      </c>
      <c r="K344" s="5" t="s">
        <v>1894</v>
      </c>
      <c r="L344" s="5" t="str">
        <f t="shared" si="5"/>
        <v>Philadelphia</v>
      </c>
      <c r="M344" t="s">
        <v>132</v>
      </c>
      <c r="N344">
        <v>19140</v>
      </c>
      <c r="O344" t="s">
        <v>133</v>
      </c>
      <c r="P344" t="s">
        <v>515</v>
      </c>
      <c r="Q344" t="s">
        <v>40</v>
      </c>
      <c r="R344" t="s">
        <v>244</v>
      </c>
      <c r="S344" t="s">
        <v>516</v>
      </c>
      <c r="T344">
        <v>30.991999999999997</v>
      </c>
      <c r="U344">
        <v>13</v>
      </c>
      <c r="V344">
        <v>0.2</v>
      </c>
      <c r="W344">
        <v>10.072399999999996</v>
      </c>
    </row>
    <row r="345" spans="1:23" x14ac:dyDescent="0.3">
      <c r="A345">
        <v>344</v>
      </c>
      <c r="B345" t="s">
        <v>1141</v>
      </c>
      <c r="C345" s="2">
        <v>41742</v>
      </c>
      <c r="D345" s="2" t="str">
        <f>LEFT(orders[[#This Row],[Ship Date]],FIND("0",F345)-1)</f>
        <v>4</v>
      </c>
      <c r="E345" s="2" t="str">
        <f>RIGHT(orders[[#This Row],[Ship Date]],4)</f>
        <v>2014</v>
      </c>
      <c r="F345" s="4" t="s">
        <v>2141</v>
      </c>
      <c r="G345" t="s">
        <v>20</v>
      </c>
      <c r="H345" t="s">
        <v>534</v>
      </c>
      <c r="I345" t="s">
        <v>535</v>
      </c>
      <c r="J345" t="s">
        <v>36</v>
      </c>
      <c r="K345" s="5" t="s">
        <v>1894</v>
      </c>
      <c r="L345" s="5" t="str">
        <f t="shared" si="5"/>
        <v>Philadelphia</v>
      </c>
      <c r="M345" t="s">
        <v>132</v>
      </c>
      <c r="N345">
        <v>19140</v>
      </c>
      <c r="O345" t="s">
        <v>133</v>
      </c>
      <c r="P345" t="s">
        <v>1144</v>
      </c>
      <c r="Q345" t="s">
        <v>64</v>
      </c>
      <c r="R345" t="s">
        <v>65</v>
      </c>
      <c r="S345" t="s">
        <v>1145</v>
      </c>
      <c r="T345">
        <v>71.927999999999997</v>
      </c>
      <c r="U345">
        <v>12</v>
      </c>
      <c r="V345">
        <v>0.4</v>
      </c>
      <c r="W345">
        <v>8.3915999999999897</v>
      </c>
    </row>
    <row r="346" spans="1:23" x14ac:dyDescent="0.3">
      <c r="A346">
        <v>345</v>
      </c>
      <c r="B346" t="s">
        <v>1146</v>
      </c>
      <c r="C346" s="2">
        <v>42358</v>
      </c>
      <c r="D346" s="2" t="str">
        <f>LEFT(orders[[#This Row],[Ship Date]],FIND("0",F346)-1)</f>
        <v>12</v>
      </c>
      <c r="E346" s="2" t="str">
        <f>RIGHT(orders[[#This Row],[Ship Date]],4)</f>
        <v>2015</v>
      </c>
      <c r="F346" s="4" t="s">
        <v>2142</v>
      </c>
      <c r="G346" t="s">
        <v>44</v>
      </c>
      <c r="H346" t="s">
        <v>640</v>
      </c>
      <c r="I346" t="s">
        <v>641</v>
      </c>
      <c r="J346" t="s">
        <v>23</v>
      </c>
      <c r="K346" s="5" t="s">
        <v>1973</v>
      </c>
      <c r="L346" s="5" t="str">
        <f t="shared" si="5"/>
        <v>Austin</v>
      </c>
      <c r="M346" t="s">
        <v>94</v>
      </c>
      <c r="N346">
        <v>78745</v>
      </c>
      <c r="O346" t="s">
        <v>95</v>
      </c>
      <c r="P346" t="s">
        <v>110</v>
      </c>
      <c r="Q346" t="s">
        <v>40</v>
      </c>
      <c r="R346" t="s">
        <v>52</v>
      </c>
      <c r="S346" t="s">
        <v>111</v>
      </c>
      <c r="T346">
        <v>88.800000000000011</v>
      </c>
      <c r="U346">
        <v>4</v>
      </c>
      <c r="V346">
        <v>0.2</v>
      </c>
      <c r="W346">
        <v>-2.2200000000000131</v>
      </c>
    </row>
    <row r="347" spans="1:23" x14ac:dyDescent="0.3">
      <c r="A347">
        <v>346</v>
      </c>
      <c r="B347" t="s">
        <v>1147</v>
      </c>
      <c r="C347" s="2">
        <v>42901</v>
      </c>
      <c r="D347" s="2" t="str">
        <f>LEFT(orders[[#This Row],[Ship Date]],FIND("0",F347)-1)</f>
        <v>6</v>
      </c>
      <c r="E347" s="2" t="str">
        <f>RIGHT(orders[[#This Row],[Ship Date]],4)</f>
        <v>2017</v>
      </c>
      <c r="F347" s="4" t="s">
        <v>2143</v>
      </c>
      <c r="G347" t="s">
        <v>44</v>
      </c>
      <c r="H347" t="s">
        <v>1148</v>
      </c>
      <c r="I347" t="s">
        <v>1149</v>
      </c>
      <c r="J347" t="s">
        <v>23</v>
      </c>
      <c r="K347" s="5" t="s">
        <v>1892</v>
      </c>
      <c r="L347" s="5" t="str">
        <f t="shared" si="5"/>
        <v>San Francisco</v>
      </c>
      <c r="M347" t="s">
        <v>37</v>
      </c>
      <c r="N347">
        <v>94122</v>
      </c>
      <c r="O347" t="s">
        <v>38</v>
      </c>
      <c r="P347" t="s">
        <v>511</v>
      </c>
      <c r="Q347" t="s">
        <v>64</v>
      </c>
      <c r="R347" t="s">
        <v>65</v>
      </c>
      <c r="S347" t="s">
        <v>512</v>
      </c>
      <c r="T347">
        <v>47.975999999999999</v>
      </c>
      <c r="U347">
        <v>3</v>
      </c>
      <c r="V347">
        <v>0.2</v>
      </c>
      <c r="W347">
        <v>4.7976000000000028</v>
      </c>
    </row>
    <row r="348" spans="1:23" x14ac:dyDescent="0.3">
      <c r="A348">
        <v>347</v>
      </c>
      <c r="B348" t="s">
        <v>1150</v>
      </c>
      <c r="C348" s="2">
        <v>42924</v>
      </c>
      <c r="D348" s="2" t="str">
        <f>LEFT(orders[[#This Row],[Ship Date]],FIND("0",F348)-1)</f>
        <v>7</v>
      </c>
      <c r="E348" s="2" t="str">
        <f>RIGHT(orders[[#This Row],[Ship Date]],4)</f>
        <v>2017</v>
      </c>
      <c r="F348" s="4" t="s">
        <v>2144</v>
      </c>
      <c r="G348" t="s">
        <v>44</v>
      </c>
      <c r="H348" t="s">
        <v>1151</v>
      </c>
      <c r="I348" t="s">
        <v>1152</v>
      </c>
      <c r="J348" t="s">
        <v>23</v>
      </c>
      <c r="K348" s="5" t="s">
        <v>1974</v>
      </c>
      <c r="L348" s="5" t="str">
        <f t="shared" si="5"/>
        <v>Lowell</v>
      </c>
      <c r="M348" t="s">
        <v>1153</v>
      </c>
      <c r="N348">
        <v>1852</v>
      </c>
      <c r="O348" t="s">
        <v>133</v>
      </c>
      <c r="P348" t="s">
        <v>722</v>
      </c>
      <c r="Q348" t="s">
        <v>40</v>
      </c>
      <c r="R348" t="s">
        <v>61</v>
      </c>
      <c r="S348" t="s">
        <v>723</v>
      </c>
      <c r="T348">
        <v>7.5600000000000005</v>
      </c>
      <c r="U348">
        <v>3</v>
      </c>
      <c r="V348">
        <v>0</v>
      </c>
      <c r="W348">
        <v>3.0996000000000006</v>
      </c>
    </row>
    <row r="349" spans="1:23" x14ac:dyDescent="0.3">
      <c r="A349">
        <v>348</v>
      </c>
      <c r="B349" t="s">
        <v>1150</v>
      </c>
      <c r="C349" s="2">
        <v>42924</v>
      </c>
      <c r="D349" s="2" t="str">
        <f>LEFT(orders[[#This Row],[Ship Date]],FIND("0",F349)-1)</f>
        <v>7</v>
      </c>
      <c r="E349" s="2" t="str">
        <f>RIGHT(orders[[#This Row],[Ship Date]],4)</f>
        <v>2017</v>
      </c>
      <c r="F349" s="4" t="s">
        <v>2144</v>
      </c>
      <c r="G349" t="s">
        <v>44</v>
      </c>
      <c r="H349" t="s">
        <v>1151</v>
      </c>
      <c r="I349" t="s">
        <v>1152</v>
      </c>
      <c r="J349" t="s">
        <v>23</v>
      </c>
      <c r="K349" s="5" t="s">
        <v>1974</v>
      </c>
      <c r="L349" s="5" t="str">
        <f t="shared" si="5"/>
        <v>Lowell</v>
      </c>
      <c r="M349" t="s">
        <v>1153</v>
      </c>
      <c r="N349">
        <v>1852</v>
      </c>
      <c r="O349" t="s">
        <v>133</v>
      </c>
      <c r="P349" t="s">
        <v>168</v>
      </c>
      <c r="Q349" t="s">
        <v>40</v>
      </c>
      <c r="R349" t="s">
        <v>82</v>
      </c>
      <c r="S349" t="s">
        <v>169</v>
      </c>
      <c r="T349">
        <v>24.56</v>
      </c>
      <c r="U349">
        <v>2</v>
      </c>
      <c r="V349">
        <v>0</v>
      </c>
      <c r="W349">
        <v>11.543199999999999</v>
      </c>
    </row>
    <row r="350" spans="1:23" x14ac:dyDescent="0.3">
      <c r="A350">
        <v>349</v>
      </c>
      <c r="B350" t="s">
        <v>1150</v>
      </c>
      <c r="C350" s="2">
        <v>42924</v>
      </c>
      <c r="D350" s="2" t="str">
        <f>LEFT(orders[[#This Row],[Ship Date]],FIND("0",F350)-1)</f>
        <v>7</v>
      </c>
      <c r="E350" s="2" t="str">
        <f>RIGHT(orders[[#This Row],[Ship Date]],4)</f>
        <v>2017</v>
      </c>
      <c r="F350" s="4" t="s">
        <v>2144</v>
      </c>
      <c r="G350" t="s">
        <v>44</v>
      </c>
      <c r="H350" t="s">
        <v>1151</v>
      </c>
      <c r="I350" t="s">
        <v>1152</v>
      </c>
      <c r="J350" t="s">
        <v>23</v>
      </c>
      <c r="K350" s="5" t="s">
        <v>1974</v>
      </c>
      <c r="L350" s="5" t="str">
        <f t="shared" si="5"/>
        <v>Lowell</v>
      </c>
      <c r="M350" t="s">
        <v>1153</v>
      </c>
      <c r="N350">
        <v>1852</v>
      </c>
      <c r="O350" t="s">
        <v>133</v>
      </c>
      <c r="P350" t="s">
        <v>1154</v>
      </c>
      <c r="Q350" t="s">
        <v>40</v>
      </c>
      <c r="R350" t="s">
        <v>61</v>
      </c>
      <c r="S350" t="s">
        <v>1155</v>
      </c>
      <c r="T350">
        <v>12.96</v>
      </c>
      <c r="U350">
        <v>2</v>
      </c>
      <c r="V350">
        <v>0</v>
      </c>
      <c r="W350">
        <v>4.1471999999999998</v>
      </c>
    </row>
    <row r="351" spans="1:23" x14ac:dyDescent="0.3">
      <c r="A351">
        <v>350</v>
      </c>
      <c r="B351" t="s">
        <v>1156</v>
      </c>
      <c r="C351" s="2">
        <v>42614</v>
      </c>
      <c r="D351" s="2" t="str">
        <f>LEFT(orders[[#This Row],[Ship Date]],FIND("0",F351)-1)</f>
        <v>9</v>
      </c>
      <c r="E351" s="2" t="str">
        <f>RIGHT(orders[[#This Row],[Ship Date]],4)</f>
        <v>2016</v>
      </c>
      <c r="F351" s="4" t="s">
        <v>2145</v>
      </c>
      <c r="G351" t="s">
        <v>171</v>
      </c>
      <c r="H351" t="s">
        <v>1157</v>
      </c>
      <c r="I351" t="s">
        <v>1158</v>
      </c>
      <c r="J351" t="s">
        <v>93</v>
      </c>
      <c r="K351" s="5" t="s">
        <v>1904</v>
      </c>
      <c r="L351" s="5" t="str">
        <f t="shared" si="5"/>
        <v>New York City</v>
      </c>
      <c r="M351" t="s">
        <v>242</v>
      </c>
      <c r="N351">
        <v>10009</v>
      </c>
      <c r="O351" t="s">
        <v>133</v>
      </c>
      <c r="P351" t="s">
        <v>895</v>
      </c>
      <c r="Q351" t="s">
        <v>64</v>
      </c>
      <c r="R351" t="s">
        <v>145</v>
      </c>
      <c r="S351" t="s">
        <v>896</v>
      </c>
      <c r="T351">
        <v>6.79</v>
      </c>
      <c r="U351">
        <v>1</v>
      </c>
      <c r="V351">
        <v>0</v>
      </c>
      <c r="W351">
        <v>2.3086000000000002</v>
      </c>
    </row>
    <row r="352" spans="1:23" x14ac:dyDescent="0.3">
      <c r="A352">
        <v>351</v>
      </c>
      <c r="B352" t="s">
        <v>1156</v>
      </c>
      <c r="C352" s="2">
        <v>42614</v>
      </c>
      <c r="D352" s="2" t="str">
        <f>LEFT(orders[[#This Row],[Ship Date]],FIND("0",F352)-1)</f>
        <v>9</v>
      </c>
      <c r="E352" s="2" t="str">
        <f>RIGHT(orders[[#This Row],[Ship Date]],4)</f>
        <v>2016</v>
      </c>
      <c r="F352" s="4" t="s">
        <v>2145</v>
      </c>
      <c r="G352" t="s">
        <v>171</v>
      </c>
      <c r="H352" t="s">
        <v>1157</v>
      </c>
      <c r="I352" t="s">
        <v>1158</v>
      </c>
      <c r="J352" t="s">
        <v>93</v>
      </c>
      <c r="K352" s="5" t="s">
        <v>1904</v>
      </c>
      <c r="L352" s="5" t="str">
        <f t="shared" si="5"/>
        <v>New York City</v>
      </c>
      <c r="M352" t="s">
        <v>242</v>
      </c>
      <c r="N352">
        <v>10009</v>
      </c>
      <c r="O352" t="s">
        <v>133</v>
      </c>
      <c r="P352" t="s">
        <v>1159</v>
      </c>
      <c r="Q352" t="s">
        <v>40</v>
      </c>
      <c r="R352" t="s">
        <v>82</v>
      </c>
      <c r="S352" t="s">
        <v>1160</v>
      </c>
      <c r="T352">
        <v>24.56</v>
      </c>
      <c r="U352">
        <v>2</v>
      </c>
      <c r="V352">
        <v>0</v>
      </c>
      <c r="W352">
        <v>11.543199999999999</v>
      </c>
    </row>
    <row r="353" spans="1:23" x14ac:dyDescent="0.3">
      <c r="A353">
        <v>352</v>
      </c>
      <c r="B353" t="s">
        <v>1156</v>
      </c>
      <c r="C353" s="2">
        <v>42614</v>
      </c>
      <c r="D353" s="2" t="str">
        <f>LEFT(orders[[#This Row],[Ship Date]],FIND("0",F353)-1)</f>
        <v>9</v>
      </c>
      <c r="E353" s="2" t="str">
        <f>RIGHT(orders[[#This Row],[Ship Date]],4)</f>
        <v>2016</v>
      </c>
      <c r="F353" s="4" t="s">
        <v>2145</v>
      </c>
      <c r="G353" t="s">
        <v>171</v>
      </c>
      <c r="H353" t="s">
        <v>1157</v>
      </c>
      <c r="I353" t="s">
        <v>1158</v>
      </c>
      <c r="J353" t="s">
        <v>93</v>
      </c>
      <c r="K353" s="5" t="s">
        <v>1904</v>
      </c>
      <c r="L353" s="5" t="str">
        <f t="shared" si="5"/>
        <v>New York City</v>
      </c>
      <c r="M353" t="s">
        <v>242</v>
      </c>
      <c r="N353">
        <v>10009</v>
      </c>
      <c r="O353" t="s">
        <v>133</v>
      </c>
      <c r="P353" t="s">
        <v>1161</v>
      </c>
      <c r="Q353" t="s">
        <v>40</v>
      </c>
      <c r="R353" t="s">
        <v>68</v>
      </c>
      <c r="S353" t="s">
        <v>1162</v>
      </c>
      <c r="T353">
        <v>3.048</v>
      </c>
      <c r="U353">
        <v>1</v>
      </c>
      <c r="V353">
        <v>0.2</v>
      </c>
      <c r="W353">
        <v>1.0668</v>
      </c>
    </row>
    <row r="354" spans="1:23" x14ac:dyDescent="0.3">
      <c r="A354">
        <v>353</v>
      </c>
      <c r="B354" t="s">
        <v>1156</v>
      </c>
      <c r="C354" s="2">
        <v>42614</v>
      </c>
      <c r="D354" s="2" t="str">
        <f>LEFT(orders[[#This Row],[Ship Date]],FIND("0",F354)-1)</f>
        <v>9</v>
      </c>
      <c r="E354" s="2" t="str">
        <f>RIGHT(orders[[#This Row],[Ship Date]],4)</f>
        <v>2016</v>
      </c>
      <c r="F354" s="4" t="s">
        <v>2145</v>
      </c>
      <c r="G354" t="s">
        <v>171</v>
      </c>
      <c r="H354" t="s">
        <v>1157</v>
      </c>
      <c r="I354" t="s">
        <v>1158</v>
      </c>
      <c r="J354" t="s">
        <v>93</v>
      </c>
      <c r="K354" s="5" t="s">
        <v>1904</v>
      </c>
      <c r="L354" s="5" t="str">
        <f t="shared" si="5"/>
        <v>New York City</v>
      </c>
      <c r="M354" t="s">
        <v>242</v>
      </c>
      <c r="N354">
        <v>10009</v>
      </c>
      <c r="O354" t="s">
        <v>133</v>
      </c>
      <c r="P354" t="s">
        <v>1159</v>
      </c>
      <c r="Q354" t="s">
        <v>40</v>
      </c>
      <c r="R354" t="s">
        <v>82</v>
      </c>
      <c r="S354" t="s">
        <v>1160</v>
      </c>
      <c r="T354">
        <v>49.12</v>
      </c>
      <c r="U354">
        <v>4</v>
      </c>
      <c r="V354">
        <v>0</v>
      </c>
      <c r="W354">
        <v>23.086399999999998</v>
      </c>
    </row>
    <row r="355" spans="1:23" x14ac:dyDescent="0.3">
      <c r="A355">
        <v>354</v>
      </c>
      <c r="B355" t="s">
        <v>1156</v>
      </c>
      <c r="C355" s="2">
        <v>42614</v>
      </c>
      <c r="D355" s="2" t="str">
        <f>LEFT(orders[[#This Row],[Ship Date]],FIND("0",F355)-1)</f>
        <v>9</v>
      </c>
      <c r="E355" s="2" t="str">
        <f>RIGHT(orders[[#This Row],[Ship Date]],4)</f>
        <v>2016</v>
      </c>
      <c r="F355" s="4" t="s">
        <v>2145</v>
      </c>
      <c r="G355" t="s">
        <v>171</v>
      </c>
      <c r="H355" t="s">
        <v>1157</v>
      </c>
      <c r="I355" t="s">
        <v>1158</v>
      </c>
      <c r="J355" t="s">
        <v>93</v>
      </c>
      <c r="K355" s="5" t="s">
        <v>1904</v>
      </c>
      <c r="L355" s="5" t="str">
        <f t="shared" si="5"/>
        <v>New York City</v>
      </c>
      <c r="M355" t="s">
        <v>242</v>
      </c>
      <c r="N355">
        <v>10009</v>
      </c>
      <c r="O355" t="s">
        <v>133</v>
      </c>
      <c r="P355" t="s">
        <v>1163</v>
      </c>
      <c r="Q355" t="s">
        <v>40</v>
      </c>
      <c r="R355" t="s">
        <v>68</v>
      </c>
      <c r="S355" t="s">
        <v>1164</v>
      </c>
      <c r="T355">
        <v>4355.1680000000006</v>
      </c>
      <c r="U355">
        <v>4</v>
      </c>
      <c r="V355">
        <v>0.2</v>
      </c>
      <c r="W355">
        <v>1415.4295999999997</v>
      </c>
    </row>
    <row r="356" spans="1:23" x14ac:dyDescent="0.3">
      <c r="A356">
        <v>355</v>
      </c>
      <c r="B356" t="s">
        <v>1165</v>
      </c>
      <c r="C356" s="2">
        <v>42468</v>
      </c>
      <c r="D356" s="2" t="str">
        <f>LEFT(orders[[#This Row],[Ship Date]],FIND("0",F356)-1)</f>
        <v>4</v>
      </c>
      <c r="E356" s="2" t="str">
        <f>RIGHT(orders[[#This Row],[Ship Date]],4)</f>
        <v>2016</v>
      </c>
      <c r="F356" s="4" t="s">
        <v>2146</v>
      </c>
      <c r="G356" t="s">
        <v>44</v>
      </c>
      <c r="H356" t="s">
        <v>1166</v>
      </c>
      <c r="I356" t="s">
        <v>1167</v>
      </c>
      <c r="J356" t="s">
        <v>23</v>
      </c>
      <c r="K356" s="5" t="s">
        <v>1904</v>
      </c>
      <c r="L356" s="5" t="str">
        <f t="shared" si="5"/>
        <v>New York City</v>
      </c>
      <c r="M356" t="s">
        <v>242</v>
      </c>
      <c r="N356">
        <v>10035</v>
      </c>
      <c r="O356" t="s">
        <v>133</v>
      </c>
      <c r="P356" t="s">
        <v>1168</v>
      </c>
      <c r="Q356" t="s">
        <v>27</v>
      </c>
      <c r="R356" t="s">
        <v>28</v>
      </c>
      <c r="S356" t="s">
        <v>1169</v>
      </c>
      <c r="T356">
        <v>388.70400000000006</v>
      </c>
      <c r="U356">
        <v>6</v>
      </c>
      <c r="V356">
        <v>0.2</v>
      </c>
      <c r="W356">
        <v>-4.8588000000000022</v>
      </c>
    </row>
    <row r="357" spans="1:23" x14ac:dyDescent="0.3">
      <c r="A357">
        <v>356</v>
      </c>
      <c r="B357" t="s">
        <v>1165</v>
      </c>
      <c r="C357" s="2">
        <v>42468</v>
      </c>
      <c r="D357" s="2" t="str">
        <f>LEFT(orders[[#This Row],[Ship Date]],FIND("0",F357)-1)</f>
        <v>4</v>
      </c>
      <c r="E357" s="2" t="str">
        <f>RIGHT(orders[[#This Row],[Ship Date]],4)</f>
        <v>2016</v>
      </c>
      <c r="F357" s="4" t="s">
        <v>2146</v>
      </c>
      <c r="G357" t="s">
        <v>44</v>
      </c>
      <c r="H357" t="s">
        <v>1166</v>
      </c>
      <c r="I357" t="s">
        <v>1167</v>
      </c>
      <c r="J357" t="s">
        <v>23</v>
      </c>
      <c r="K357" s="5" t="s">
        <v>1904</v>
      </c>
      <c r="L357" s="5" t="str">
        <f t="shared" si="5"/>
        <v>New York City</v>
      </c>
      <c r="M357" t="s">
        <v>242</v>
      </c>
      <c r="N357">
        <v>10035</v>
      </c>
      <c r="O357" t="s">
        <v>133</v>
      </c>
      <c r="P357" t="s">
        <v>1170</v>
      </c>
      <c r="Q357" t="s">
        <v>40</v>
      </c>
      <c r="R357" t="s">
        <v>157</v>
      </c>
      <c r="S357" t="s">
        <v>1171</v>
      </c>
      <c r="T357">
        <v>8.26</v>
      </c>
      <c r="U357">
        <v>2</v>
      </c>
      <c r="V357">
        <v>0</v>
      </c>
      <c r="W357">
        <v>3.7995999999999999</v>
      </c>
    </row>
    <row r="358" spans="1:23" x14ac:dyDescent="0.3">
      <c r="A358">
        <v>357</v>
      </c>
      <c r="B358" t="s">
        <v>1165</v>
      </c>
      <c r="C358" s="2">
        <v>42468</v>
      </c>
      <c r="D358" s="2" t="str">
        <f>LEFT(orders[[#This Row],[Ship Date]],FIND("0",F358)-1)</f>
        <v>4</v>
      </c>
      <c r="E358" s="2" t="str">
        <f>RIGHT(orders[[#This Row],[Ship Date]],4)</f>
        <v>2016</v>
      </c>
      <c r="F358" s="4" t="s">
        <v>2146</v>
      </c>
      <c r="G358" t="s">
        <v>44</v>
      </c>
      <c r="H358" t="s">
        <v>1166</v>
      </c>
      <c r="I358" t="s">
        <v>1167</v>
      </c>
      <c r="J358" t="s">
        <v>23</v>
      </c>
      <c r="K358" s="5" t="s">
        <v>1904</v>
      </c>
      <c r="L358" s="5" t="str">
        <f t="shared" si="5"/>
        <v>New York City</v>
      </c>
      <c r="M358" t="s">
        <v>242</v>
      </c>
      <c r="N358">
        <v>10035</v>
      </c>
      <c r="O358" t="s">
        <v>133</v>
      </c>
      <c r="P358" t="s">
        <v>1172</v>
      </c>
      <c r="Q358" t="s">
        <v>40</v>
      </c>
      <c r="R358" t="s">
        <v>61</v>
      </c>
      <c r="S358" t="s">
        <v>1173</v>
      </c>
      <c r="T358">
        <v>17.04</v>
      </c>
      <c r="U358">
        <v>4</v>
      </c>
      <c r="V358">
        <v>0</v>
      </c>
      <c r="W358">
        <v>6.9863999999999997</v>
      </c>
    </row>
    <row r="359" spans="1:23" x14ac:dyDescent="0.3">
      <c r="A359">
        <v>358</v>
      </c>
      <c r="B359" t="s">
        <v>1165</v>
      </c>
      <c r="C359" s="2">
        <v>42468</v>
      </c>
      <c r="D359" s="2" t="str">
        <f>LEFT(orders[[#This Row],[Ship Date]],FIND("0",F359)-1)</f>
        <v>4</v>
      </c>
      <c r="E359" s="2" t="str">
        <f>RIGHT(orders[[#This Row],[Ship Date]],4)</f>
        <v>2016</v>
      </c>
      <c r="F359" s="4" t="s">
        <v>2146</v>
      </c>
      <c r="G359" t="s">
        <v>44</v>
      </c>
      <c r="H359" t="s">
        <v>1166</v>
      </c>
      <c r="I359" t="s">
        <v>1167</v>
      </c>
      <c r="J359" t="s">
        <v>23</v>
      </c>
      <c r="K359" s="5" t="s">
        <v>1904</v>
      </c>
      <c r="L359" s="5" t="str">
        <f t="shared" si="5"/>
        <v>New York City</v>
      </c>
      <c r="M359" t="s">
        <v>242</v>
      </c>
      <c r="N359">
        <v>10035</v>
      </c>
      <c r="O359" t="s">
        <v>133</v>
      </c>
      <c r="P359" t="s">
        <v>1174</v>
      </c>
      <c r="Q359" t="s">
        <v>40</v>
      </c>
      <c r="R359" t="s">
        <v>82</v>
      </c>
      <c r="S359" t="s">
        <v>1175</v>
      </c>
      <c r="T359">
        <v>34.4</v>
      </c>
      <c r="U359">
        <v>5</v>
      </c>
      <c r="V359">
        <v>0</v>
      </c>
      <c r="W359">
        <v>15.823999999999998</v>
      </c>
    </row>
    <row r="360" spans="1:23" x14ac:dyDescent="0.3">
      <c r="A360">
        <v>359</v>
      </c>
      <c r="B360" t="s">
        <v>1176</v>
      </c>
      <c r="C360" s="2">
        <v>42483</v>
      </c>
      <c r="D360" s="2" t="str">
        <f>LEFT(orders[[#This Row],[Ship Date]],FIND("0",F360)-1)</f>
        <v>4</v>
      </c>
      <c r="E360" s="2" t="str">
        <f>RIGHT(orders[[#This Row],[Ship Date]],4)</f>
        <v>2016</v>
      </c>
      <c r="F360" s="4" t="s">
        <v>2147</v>
      </c>
      <c r="G360" t="s">
        <v>44</v>
      </c>
      <c r="H360" t="s">
        <v>755</v>
      </c>
      <c r="I360" t="s">
        <v>756</v>
      </c>
      <c r="J360" t="s">
        <v>36</v>
      </c>
      <c r="K360" s="5" t="s">
        <v>1919</v>
      </c>
      <c r="L360" s="5" t="str">
        <f t="shared" si="5"/>
        <v>Charlotte</v>
      </c>
      <c r="M360" t="s">
        <v>80</v>
      </c>
      <c r="N360">
        <v>28205</v>
      </c>
      <c r="O360" t="s">
        <v>25</v>
      </c>
      <c r="P360" t="s">
        <v>740</v>
      </c>
      <c r="Q360" t="s">
        <v>40</v>
      </c>
      <c r="R360" t="s">
        <v>82</v>
      </c>
      <c r="S360" t="s">
        <v>741</v>
      </c>
      <c r="T360">
        <v>36.240000000000009</v>
      </c>
      <c r="U360">
        <v>5</v>
      </c>
      <c r="V360">
        <v>0.2</v>
      </c>
      <c r="W360">
        <v>11.324999999999996</v>
      </c>
    </row>
    <row r="361" spans="1:23" x14ac:dyDescent="0.3">
      <c r="A361">
        <v>360</v>
      </c>
      <c r="B361" t="s">
        <v>1177</v>
      </c>
      <c r="C361" s="2">
        <v>42802</v>
      </c>
      <c r="D361" s="2" t="str">
        <f>LEFT(orders[[#This Row],[Ship Date]],FIND("0",F361)-1)</f>
        <v>3</v>
      </c>
      <c r="E361" s="2" t="str">
        <f>RIGHT(orders[[#This Row],[Ship Date]],4)</f>
        <v>2017</v>
      </c>
      <c r="F361" s="4" t="s">
        <v>2148</v>
      </c>
      <c r="G361" t="s">
        <v>171</v>
      </c>
      <c r="H361" t="s">
        <v>1178</v>
      </c>
      <c r="I361" t="s">
        <v>1179</v>
      </c>
      <c r="J361" t="s">
        <v>36</v>
      </c>
      <c r="K361" s="5" t="s">
        <v>1922</v>
      </c>
      <c r="L361" s="5" t="str">
        <f t="shared" si="5"/>
        <v>Columbus</v>
      </c>
      <c r="M361" t="s">
        <v>1180</v>
      </c>
      <c r="N361">
        <v>31907</v>
      </c>
      <c r="O361" t="s">
        <v>25</v>
      </c>
      <c r="P361" t="s">
        <v>1181</v>
      </c>
      <c r="Q361" t="s">
        <v>40</v>
      </c>
      <c r="R361" t="s">
        <v>71</v>
      </c>
      <c r="S361" t="s">
        <v>1182</v>
      </c>
      <c r="T361">
        <v>647.84</v>
      </c>
      <c r="U361">
        <v>8</v>
      </c>
      <c r="V361">
        <v>0</v>
      </c>
      <c r="W361">
        <v>168.4384</v>
      </c>
    </row>
    <row r="362" spans="1:23" x14ac:dyDescent="0.3">
      <c r="A362">
        <v>361</v>
      </c>
      <c r="B362" t="s">
        <v>1177</v>
      </c>
      <c r="C362" s="2">
        <v>42802</v>
      </c>
      <c r="D362" s="2" t="str">
        <f>LEFT(orders[[#This Row],[Ship Date]],FIND("0",F362)-1)</f>
        <v>3</v>
      </c>
      <c r="E362" s="2" t="str">
        <f>RIGHT(orders[[#This Row],[Ship Date]],4)</f>
        <v>2017</v>
      </c>
      <c r="F362" s="4" t="s">
        <v>2148</v>
      </c>
      <c r="G362" t="s">
        <v>171</v>
      </c>
      <c r="H362" t="s">
        <v>1178</v>
      </c>
      <c r="I362" t="s">
        <v>1179</v>
      </c>
      <c r="J362" t="s">
        <v>36</v>
      </c>
      <c r="K362" s="5" t="s">
        <v>1922</v>
      </c>
      <c r="L362" s="5" t="str">
        <f t="shared" si="5"/>
        <v>Columbus</v>
      </c>
      <c r="M362" t="s">
        <v>1180</v>
      </c>
      <c r="N362">
        <v>31907</v>
      </c>
      <c r="O362" t="s">
        <v>25</v>
      </c>
      <c r="P362" t="s">
        <v>1183</v>
      </c>
      <c r="Q362" t="s">
        <v>40</v>
      </c>
      <c r="R362" t="s">
        <v>41</v>
      </c>
      <c r="S362" t="s">
        <v>1184</v>
      </c>
      <c r="T362">
        <v>20.7</v>
      </c>
      <c r="U362">
        <v>2</v>
      </c>
      <c r="V362">
        <v>0</v>
      </c>
      <c r="W362">
        <v>9.9359999999999999</v>
      </c>
    </row>
    <row r="363" spans="1:23" x14ac:dyDescent="0.3">
      <c r="A363">
        <v>362</v>
      </c>
      <c r="B363" t="s">
        <v>1185</v>
      </c>
      <c r="C363" s="2">
        <v>43003</v>
      </c>
      <c r="D363" s="2" t="str">
        <f>LEFT(orders[[#This Row],[Ship Date]],FIND("0",F363)-1)</f>
        <v>1</v>
      </c>
      <c r="E363" s="2" t="str">
        <f>RIGHT(orders[[#This Row],[Ship Date]],4)</f>
        <v>2017</v>
      </c>
      <c r="F363" s="4" t="s">
        <v>2149</v>
      </c>
      <c r="G363" t="s">
        <v>44</v>
      </c>
      <c r="H363" t="s">
        <v>1186</v>
      </c>
      <c r="I363" t="s">
        <v>1187</v>
      </c>
      <c r="J363" t="s">
        <v>23</v>
      </c>
      <c r="K363" s="5" t="s">
        <v>1904</v>
      </c>
      <c r="L363" s="5" t="str">
        <f t="shared" si="5"/>
        <v>New York City</v>
      </c>
      <c r="M363" t="s">
        <v>242</v>
      </c>
      <c r="N363">
        <v>10009</v>
      </c>
      <c r="O363" t="s">
        <v>133</v>
      </c>
      <c r="P363" t="s">
        <v>1183</v>
      </c>
      <c r="Q363" t="s">
        <v>40</v>
      </c>
      <c r="R363" t="s">
        <v>41</v>
      </c>
      <c r="S363" t="s">
        <v>1184</v>
      </c>
      <c r="T363">
        <v>20.7</v>
      </c>
      <c r="U363">
        <v>2</v>
      </c>
      <c r="V363">
        <v>0</v>
      </c>
      <c r="W363">
        <v>9.9359999999999999</v>
      </c>
    </row>
    <row r="364" spans="1:23" x14ac:dyDescent="0.3">
      <c r="A364">
        <v>363</v>
      </c>
      <c r="B364" t="s">
        <v>1185</v>
      </c>
      <c r="C364" s="2">
        <v>43003</v>
      </c>
      <c r="D364" s="2" t="str">
        <f>LEFT(orders[[#This Row],[Ship Date]],FIND("0",F364)-1)</f>
        <v>1</v>
      </c>
      <c r="E364" s="2" t="str">
        <f>RIGHT(orders[[#This Row],[Ship Date]],4)</f>
        <v>2017</v>
      </c>
      <c r="F364" s="4" t="s">
        <v>2149</v>
      </c>
      <c r="G364" t="s">
        <v>44</v>
      </c>
      <c r="H364" t="s">
        <v>1186</v>
      </c>
      <c r="I364" t="s">
        <v>1187</v>
      </c>
      <c r="J364" t="s">
        <v>23</v>
      </c>
      <c r="K364" s="5" t="s">
        <v>1904</v>
      </c>
      <c r="L364" s="5" t="str">
        <f t="shared" si="5"/>
        <v>New York City</v>
      </c>
      <c r="M364" t="s">
        <v>242</v>
      </c>
      <c r="N364">
        <v>10009</v>
      </c>
      <c r="O364" t="s">
        <v>133</v>
      </c>
      <c r="P364" t="s">
        <v>1188</v>
      </c>
      <c r="Q364" t="s">
        <v>27</v>
      </c>
      <c r="R364" t="s">
        <v>31</v>
      </c>
      <c r="S364" t="s">
        <v>1189</v>
      </c>
      <c r="T364">
        <v>488.64600000000002</v>
      </c>
      <c r="U364">
        <v>3</v>
      </c>
      <c r="V364">
        <v>0.1</v>
      </c>
      <c r="W364">
        <v>86.870400000000004</v>
      </c>
    </row>
    <row r="365" spans="1:23" x14ac:dyDescent="0.3">
      <c r="A365">
        <v>364</v>
      </c>
      <c r="B365" t="s">
        <v>1185</v>
      </c>
      <c r="C365" s="2">
        <v>43003</v>
      </c>
      <c r="D365" s="2" t="str">
        <f>LEFT(orders[[#This Row],[Ship Date]],FIND("0",F365)-1)</f>
        <v>1</v>
      </c>
      <c r="E365" s="2" t="str">
        <f>RIGHT(orders[[#This Row],[Ship Date]],4)</f>
        <v>2017</v>
      </c>
      <c r="F365" s="4" t="s">
        <v>2149</v>
      </c>
      <c r="G365" t="s">
        <v>44</v>
      </c>
      <c r="H365" t="s">
        <v>1186</v>
      </c>
      <c r="I365" t="s">
        <v>1187</v>
      </c>
      <c r="J365" t="s">
        <v>23</v>
      </c>
      <c r="K365" s="5" t="s">
        <v>1904</v>
      </c>
      <c r="L365" s="5" t="str">
        <f t="shared" si="5"/>
        <v>New York City</v>
      </c>
      <c r="M365" t="s">
        <v>242</v>
      </c>
      <c r="N365">
        <v>10009</v>
      </c>
      <c r="O365" t="s">
        <v>133</v>
      </c>
      <c r="P365" t="s">
        <v>1190</v>
      </c>
      <c r="Q365" t="s">
        <v>40</v>
      </c>
      <c r="R365" t="s">
        <v>61</v>
      </c>
      <c r="S365" t="s">
        <v>1191</v>
      </c>
      <c r="T365">
        <v>5.56</v>
      </c>
      <c r="U365">
        <v>2</v>
      </c>
      <c r="V365">
        <v>0</v>
      </c>
      <c r="W365">
        <v>1.4455999999999998</v>
      </c>
    </row>
    <row r="366" spans="1:23" x14ac:dyDescent="0.3">
      <c r="A366">
        <v>365</v>
      </c>
      <c r="B366" t="s">
        <v>1185</v>
      </c>
      <c r="C366" s="2">
        <v>43003</v>
      </c>
      <c r="D366" s="2" t="str">
        <f>LEFT(orders[[#This Row],[Ship Date]],FIND("0",F366)-1)</f>
        <v>1</v>
      </c>
      <c r="E366" s="2" t="str">
        <f>RIGHT(orders[[#This Row],[Ship Date]],4)</f>
        <v>2017</v>
      </c>
      <c r="F366" s="4" t="s">
        <v>2149</v>
      </c>
      <c r="G366" t="s">
        <v>44</v>
      </c>
      <c r="H366" t="s">
        <v>1186</v>
      </c>
      <c r="I366" t="s">
        <v>1187</v>
      </c>
      <c r="J366" t="s">
        <v>23</v>
      </c>
      <c r="K366" s="5" t="s">
        <v>1904</v>
      </c>
      <c r="L366" s="5" t="str">
        <f t="shared" si="5"/>
        <v>New York City</v>
      </c>
      <c r="M366" t="s">
        <v>242</v>
      </c>
      <c r="N366">
        <v>10009</v>
      </c>
      <c r="O366" t="s">
        <v>133</v>
      </c>
      <c r="P366" t="s">
        <v>1192</v>
      </c>
      <c r="Q366" t="s">
        <v>27</v>
      </c>
      <c r="R366" t="s">
        <v>58</v>
      </c>
      <c r="S366" t="s">
        <v>1193</v>
      </c>
      <c r="T366">
        <v>47.12</v>
      </c>
      <c r="U366">
        <v>8</v>
      </c>
      <c r="V366">
        <v>0</v>
      </c>
      <c r="W366">
        <v>20.732800000000001</v>
      </c>
    </row>
    <row r="367" spans="1:23" x14ac:dyDescent="0.3">
      <c r="A367">
        <v>366</v>
      </c>
      <c r="B367" t="s">
        <v>1194</v>
      </c>
      <c r="C367" s="2">
        <v>41906</v>
      </c>
      <c r="D367" s="2" t="str">
        <f>LEFT(orders[[#This Row],[Ship Date]],FIND("0",F367)-1)</f>
        <v>9</v>
      </c>
      <c r="E367" s="2" t="str">
        <f>RIGHT(orders[[#This Row],[Ship Date]],4)</f>
        <v>2014</v>
      </c>
      <c r="F367" s="4" t="s">
        <v>2150</v>
      </c>
      <c r="G367" t="s">
        <v>44</v>
      </c>
      <c r="H367" t="s">
        <v>1195</v>
      </c>
      <c r="I367" t="s">
        <v>1196</v>
      </c>
      <c r="J367" t="s">
        <v>23</v>
      </c>
      <c r="K367" s="5" t="s">
        <v>1892</v>
      </c>
      <c r="L367" s="5" t="str">
        <f t="shared" si="5"/>
        <v>San Francisco</v>
      </c>
      <c r="M367" t="s">
        <v>37</v>
      </c>
      <c r="N367">
        <v>94109</v>
      </c>
      <c r="O367" t="s">
        <v>38</v>
      </c>
      <c r="P367" t="s">
        <v>217</v>
      </c>
      <c r="Q367" t="s">
        <v>40</v>
      </c>
      <c r="R367" t="s">
        <v>52</v>
      </c>
      <c r="S367" t="s">
        <v>218</v>
      </c>
      <c r="T367">
        <v>211.96</v>
      </c>
      <c r="U367">
        <v>4</v>
      </c>
      <c r="V367">
        <v>0</v>
      </c>
      <c r="W367">
        <v>8.4783999999999935</v>
      </c>
    </row>
    <row r="368" spans="1:23" x14ac:dyDescent="0.3">
      <c r="A368">
        <v>367</v>
      </c>
      <c r="B368" t="s">
        <v>1197</v>
      </c>
      <c r="C368" s="2">
        <v>42664</v>
      </c>
      <c r="D368" s="2" t="str">
        <f>LEFT(orders[[#This Row],[Ship Date]],FIND("0",F368)-1)</f>
        <v>1</v>
      </c>
      <c r="E368" s="2" t="str">
        <f>RIGHT(orders[[#This Row],[Ship Date]],4)</f>
        <v>2016</v>
      </c>
      <c r="F368" s="4" t="s">
        <v>2151</v>
      </c>
      <c r="G368" t="s">
        <v>1198</v>
      </c>
      <c r="H368" t="s">
        <v>1199</v>
      </c>
      <c r="I368" t="s">
        <v>1200</v>
      </c>
      <c r="J368" t="s">
        <v>36</v>
      </c>
      <c r="K368" s="5" t="s">
        <v>1975</v>
      </c>
      <c r="L368" s="5" t="str">
        <f t="shared" si="5"/>
        <v>Manchester</v>
      </c>
      <c r="M368" t="s">
        <v>690</v>
      </c>
      <c r="N368">
        <v>6040</v>
      </c>
      <c r="O368" t="s">
        <v>133</v>
      </c>
      <c r="P368" t="s">
        <v>1201</v>
      </c>
      <c r="Q368" t="s">
        <v>40</v>
      </c>
      <c r="R368" t="s">
        <v>68</v>
      </c>
      <c r="S368" t="s">
        <v>1202</v>
      </c>
      <c r="T368">
        <v>23.2</v>
      </c>
      <c r="U368">
        <v>4</v>
      </c>
      <c r="V368">
        <v>0</v>
      </c>
      <c r="W368">
        <v>10.44</v>
      </c>
    </row>
    <row r="369" spans="1:23" x14ac:dyDescent="0.3">
      <c r="A369">
        <v>368</v>
      </c>
      <c r="B369" t="s">
        <v>1197</v>
      </c>
      <c r="C369" s="2">
        <v>42664</v>
      </c>
      <c r="D369" s="2" t="str">
        <f>LEFT(orders[[#This Row],[Ship Date]],FIND("0",F369)-1)</f>
        <v>1</v>
      </c>
      <c r="E369" s="2" t="str">
        <f>RIGHT(orders[[#This Row],[Ship Date]],4)</f>
        <v>2016</v>
      </c>
      <c r="F369" s="4" t="s">
        <v>2151</v>
      </c>
      <c r="G369" t="s">
        <v>1198</v>
      </c>
      <c r="H369" t="s">
        <v>1199</v>
      </c>
      <c r="I369" t="s">
        <v>1200</v>
      </c>
      <c r="J369" t="s">
        <v>36</v>
      </c>
      <c r="K369" s="5" t="s">
        <v>1975</v>
      </c>
      <c r="L369" s="5" t="str">
        <f t="shared" si="5"/>
        <v>Manchester</v>
      </c>
      <c r="M369" t="s">
        <v>690</v>
      </c>
      <c r="N369">
        <v>6040</v>
      </c>
      <c r="O369" t="s">
        <v>133</v>
      </c>
      <c r="P369" t="s">
        <v>1203</v>
      </c>
      <c r="Q369" t="s">
        <v>40</v>
      </c>
      <c r="R369" t="s">
        <v>531</v>
      </c>
      <c r="S369" t="s">
        <v>1204</v>
      </c>
      <c r="T369">
        <v>7.36</v>
      </c>
      <c r="U369">
        <v>2</v>
      </c>
      <c r="V369">
        <v>0</v>
      </c>
      <c r="W369">
        <v>0.14719999999999978</v>
      </c>
    </row>
    <row r="370" spans="1:23" x14ac:dyDescent="0.3">
      <c r="A370">
        <v>369</v>
      </c>
      <c r="B370" t="s">
        <v>1197</v>
      </c>
      <c r="C370" s="2">
        <v>42664</v>
      </c>
      <c r="D370" s="2" t="str">
        <f>LEFT(orders[[#This Row],[Ship Date]],FIND("0",F370)-1)</f>
        <v>1</v>
      </c>
      <c r="E370" s="2" t="str">
        <f>RIGHT(orders[[#This Row],[Ship Date]],4)</f>
        <v>2016</v>
      </c>
      <c r="F370" s="4" t="s">
        <v>2151</v>
      </c>
      <c r="G370" t="s">
        <v>1198</v>
      </c>
      <c r="H370" t="s">
        <v>1199</v>
      </c>
      <c r="I370" t="s">
        <v>1200</v>
      </c>
      <c r="J370" t="s">
        <v>36</v>
      </c>
      <c r="K370" s="5" t="s">
        <v>1975</v>
      </c>
      <c r="L370" s="5" t="str">
        <f t="shared" si="5"/>
        <v>Manchester</v>
      </c>
      <c r="M370" t="s">
        <v>690</v>
      </c>
      <c r="N370">
        <v>6040</v>
      </c>
      <c r="O370" t="s">
        <v>133</v>
      </c>
      <c r="P370" t="s">
        <v>1205</v>
      </c>
      <c r="Q370" t="s">
        <v>40</v>
      </c>
      <c r="R370" t="s">
        <v>52</v>
      </c>
      <c r="S370" t="s">
        <v>1206</v>
      </c>
      <c r="T370">
        <v>104.79</v>
      </c>
      <c r="U370">
        <v>7</v>
      </c>
      <c r="V370">
        <v>0</v>
      </c>
      <c r="W370">
        <v>29.341200000000008</v>
      </c>
    </row>
    <row r="371" spans="1:23" x14ac:dyDescent="0.3">
      <c r="A371">
        <v>370</v>
      </c>
      <c r="B371" t="s">
        <v>1197</v>
      </c>
      <c r="C371" s="2">
        <v>42664</v>
      </c>
      <c r="D371" s="2" t="str">
        <f>LEFT(orders[[#This Row],[Ship Date]],FIND("0",F371)-1)</f>
        <v>1</v>
      </c>
      <c r="E371" s="2" t="str">
        <f>RIGHT(orders[[#This Row],[Ship Date]],4)</f>
        <v>2016</v>
      </c>
      <c r="F371" s="4" t="s">
        <v>2151</v>
      </c>
      <c r="G371" t="s">
        <v>1198</v>
      </c>
      <c r="H371" t="s">
        <v>1199</v>
      </c>
      <c r="I371" t="s">
        <v>1200</v>
      </c>
      <c r="J371" t="s">
        <v>36</v>
      </c>
      <c r="K371" s="5" t="s">
        <v>1975</v>
      </c>
      <c r="L371" s="5" t="str">
        <f t="shared" si="5"/>
        <v>Manchester</v>
      </c>
      <c r="M371" t="s">
        <v>690</v>
      </c>
      <c r="N371">
        <v>6040</v>
      </c>
      <c r="O371" t="s">
        <v>133</v>
      </c>
      <c r="P371" t="s">
        <v>183</v>
      </c>
      <c r="Q371" t="s">
        <v>27</v>
      </c>
      <c r="R371" t="s">
        <v>28</v>
      </c>
      <c r="S371" t="s">
        <v>184</v>
      </c>
      <c r="T371">
        <v>1043.92</v>
      </c>
      <c r="U371">
        <v>4</v>
      </c>
      <c r="V371">
        <v>0</v>
      </c>
      <c r="W371">
        <v>271.41920000000005</v>
      </c>
    </row>
    <row r="372" spans="1:23" x14ac:dyDescent="0.3">
      <c r="A372">
        <v>371</v>
      </c>
      <c r="B372" t="s">
        <v>1207</v>
      </c>
      <c r="C372" s="2">
        <v>42884</v>
      </c>
      <c r="D372" s="2" t="str">
        <f>LEFT(orders[[#This Row],[Ship Date]],FIND("0",F372)-1)</f>
        <v>6</v>
      </c>
      <c r="E372" s="2" t="str">
        <f>RIGHT(orders[[#This Row],[Ship Date]],4)</f>
        <v>2017</v>
      </c>
      <c r="F372" s="4" t="s">
        <v>2152</v>
      </c>
      <c r="G372" t="s">
        <v>44</v>
      </c>
      <c r="H372" t="s">
        <v>1208</v>
      </c>
      <c r="I372" t="s">
        <v>1209</v>
      </c>
      <c r="J372" t="s">
        <v>23</v>
      </c>
      <c r="K372" s="5" t="s">
        <v>1976</v>
      </c>
      <c r="L372" s="5" t="str">
        <f t="shared" si="5"/>
        <v>Harlingen</v>
      </c>
      <c r="M372" t="s">
        <v>94</v>
      </c>
      <c r="N372">
        <v>78550</v>
      </c>
      <c r="O372" t="s">
        <v>95</v>
      </c>
      <c r="P372" t="s">
        <v>1210</v>
      </c>
      <c r="Q372" t="s">
        <v>40</v>
      </c>
      <c r="R372" t="s">
        <v>82</v>
      </c>
      <c r="S372" t="s">
        <v>1211</v>
      </c>
      <c r="T372">
        <v>25.920000000000005</v>
      </c>
      <c r="U372">
        <v>5</v>
      </c>
      <c r="V372">
        <v>0.2</v>
      </c>
      <c r="W372">
        <v>9.3960000000000008</v>
      </c>
    </row>
    <row r="373" spans="1:23" x14ac:dyDescent="0.3">
      <c r="A373">
        <v>372</v>
      </c>
      <c r="B373" t="s">
        <v>1207</v>
      </c>
      <c r="C373" s="2">
        <v>42884</v>
      </c>
      <c r="D373" s="2" t="str">
        <f>LEFT(orders[[#This Row],[Ship Date]],FIND("0",F373)-1)</f>
        <v>6</v>
      </c>
      <c r="E373" s="2" t="str">
        <f>RIGHT(orders[[#This Row],[Ship Date]],4)</f>
        <v>2017</v>
      </c>
      <c r="F373" s="4" t="s">
        <v>2152</v>
      </c>
      <c r="G373" t="s">
        <v>44</v>
      </c>
      <c r="H373" t="s">
        <v>1208</v>
      </c>
      <c r="I373" t="s">
        <v>1209</v>
      </c>
      <c r="J373" t="s">
        <v>23</v>
      </c>
      <c r="K373" s="5" t="s">
        <v>1976</v>
      </c>
      <c r="L373" s="5" t="str">
        <f t="shared" si="5"/>
        <v>Harlingen</v>
      </c>
      <c r="M373" t="s">
        <v>94</v>
      </c>
      <c r="N373">
        <v>78550</v>
      </c>
      <c r="O373" t="s">
        <v>95</v>
      </c>
      <c r="P373" t="s">
        <v>1212</v>
      </c>
      <c r="Q373" t="s">
        <v>40</v>
      </c>
      <c r="R373" t="s">
        <v>52</v>
      </c>
      <c r="S373" t="s">
        <v>1213</v>
      </c>
      <c r="T373">
        <v>53.424000000000007</v>
      </c>
      <c r="U373">
        <v>3</v>
      </c>
      <c r="V373">
        <v>0.2</v>
      </c>
      <c r="W373">
        <v>4.6746000000000016</v>
      </c>
    </row>
    <row r="374" spans="1:23" x14ac:dyDescent="0.3">
      <c r="A374">
        <v>373</v>
      </c>
      <c r="B374" t="s">
        <v>1214</v>
      </c>
      <c r="C374" s="2">
        <v>41843</v>
      </c>
      <c r="D374" s="2" t="str">
        <f>LEFT(orders[[#This Row],[Ship Date]],FIND("0",F374)-1)</f>
        <v>7</v>
      </c>
      <c r="E374" s="2" t="str">
        <f>RIGHT(orders[[#This Row],[Ship Date]],4)</f>
        <v>2014</v>
      </c>
      <c r="F374" s="4" t="s">
        <v>2153</v>
      </c>
      <c r="G374" t="s">
        <v>44</v>
      </c>
      <c r="H374" t="s">
        <v>1215</v>
      </c>
      <c r="I374" t="s">
        <v>1216</v>
      </c>
      <c r="J374" t="s">
        <v>23</v>
      </c>
      <c r="K374" s="5" t="s">
        <v>1977</v>
      </c>
      <c r="L374" s="5" t="str">
        <f t="shared" si="5"/>
        <v>Tucson</v>
      </c>
      <c r="M374" t="s">
        <v>282</v>
      </c>
      <c r="N374">
        <v>85705</v>
      </c>
      <c r="O374" t="s">
        <v>38</v>
      </c>
      <c r="P374" t="s">
        <v>1119</v>
      </c>
      <c r="Q374" t="s">
        <v>40</v>
      </c>
      <c r="R374" t="s">
        <v>68</v>
      </c>
      <c r="S374" t="s">
        <v>1120</v>
      </c>
      <c r="T374">
        <v>8.1600000000000019</v>
      </c>
      <c r="U374">
        <v>5</v>
      </c>
      <c r="V374">
        <v>0.7</v>
      </c>
      <c r="W374">
        <v>-5.7119999999999997</v>
      </c>
    </row>
    <row r="375" spans="1:23" x14ac:dyDescent="0.3">
      <c r="A375">
        <v>374</v>
      </c>
      <c r="B375" t="s">
        <v>1214</v>
      </c>
      <c r="C375" s="2">
        <v>41843</v>
      </c>
      <c r="D375" s="2" t="str">
        <f>LEFT(orders[[#This Row],[Ship Date]],FIND("0",F375)-1)</f>
        <v>7</v>
      </c>
      <c r="E375" s="2" t="str">
        <f>RIGHT(orders[[#This Row],[Ship Date]],4)</f>
        <v>2014</v>
      </c>
      <c r="F375" s="4" t="s">
        <v>2153</v>
      </c>
      <c r="G375" t="s">
        <v>44</v>
      </c>
      <c r="H375" t="s">
        <v>1215</v>
      </c>
      <c r="I375" t="s">
        <v>1216</v>
      </c>
      <c r="J375" t="s">
        <v>23</v>
      </c>
      <c r="K375" s="5" t="s">
        <v>1977</v>
      </c>
      <c r="L375" s="5" t="str">
        <f t="shared" si="5"/>
        <v>Tucson</v>
      </c>
      <c r="M375" t="s">
        <v>282</v>
      </c>
      <c r="N375">
        <v>85705</v>
      </c>
      <c r="O375" t="s">
        <v>38</v>
      </c>
      <c r="P375" t="s">
        <v>1217</v>
      </c>
      <c r="Q375" t="s">
        <v>64</v>
      </c>
      <c r="R375" t="s">
        <v>145</v>
      </c>
      <c r="S375" t="s">
        <v>1218</v>
      </c>
      <c r="T375">
        <v>1023.9360000000001</v>
      </c>
      <c r="U375">
        <v>8</v>
      </c>
      <c r="V375">
        <v>0.2</v>
      </c>
      <c r="W375">
        <v>179.1887999999999</v>
      </c>
    </row>
    <row r="376" spans="1:23" x14ac:dyDescent="0.3">
      <c r="A376">
        <v>375</v>
      </c>
      <c r="B376" t="s">
        <v>1214</v>
      </c>
      <c r="C376" s="2">
        <v>41843</v>
      </c>
      <c r="D376" s="2" t="str">
        <f>LEFT(orders[[#This Row],[Ship Date]],FIND("0",F376)-1)</f>
        <v>7</v>
      </c>
      <c r="E376" s="2" t="str">
        <f>RIGHT(orders[[#This Row],[Ship Date]],4)</f>
        <v>2014</v>
      </c>
      <c r="F376" s="4" t="s">
        <v>2153</v>
      </c>
      <c r="G376" t="s">
        <v>44</v>
      </c>
      <c r="H376" t="s">
        <v>1215</v>
      </c>
      <c r="I376" t="s">
        <v>1216</v>
      </c>
      <c r="J376" t="s">
        <v>23</v>
      </c>
      <c r="K376" s="5" t="s">
        <v>1977</v>
      </c>
      <c r="L376" s="5" t="str">
        <f t="shared" si="5"/>
        <v>Tucson</v>
      </c>
      <c r="M376" t="s">
        <v>282</v>
      </c>
      <c r="N376">
        <v>85705</v>
      </c>
      <c r="O376" t="s">
        <v>38</v>
      </c>
      <c r="P376" t="s">
        <v>1219</v>
      </c>
      <c r="Q376" t="s">
        <v>40</v>
      </c>
      <c r="R376" t="s">
        <v>61</v>
      </c>
      <c r="S376" t="s">
        <v>1220</v>
      </c>
      <c r="T376">
        <v>9.24</v>
      </c>
      <c r="U376">
        <v>1</v>
      </c>
      <c r="V376">
        <v>0.2</v>
      </c>
      <c r="W376">
        <v>0.92399999999999993</v>
      </c>
    </row>
    <row r="377" spans="1:23" x14ac:dyDescent="0.3">
      <c r="A377">
        <v>376</v>
      </c>
      <c r="B377" t="s">
        <v>1214</v>
      </c>
      <c r="C377" s="2">
        <v>41843</v>
      </c>
      <c r="D377" s="2" t="str">
        <f>LEFT(orders[[#This Row],[Ship Date]],FIND("0",F377)-1)</f>
        <v>7</v>
      </c>
      <c r="E377" s="2" t="str">
        <f>RIGHT(orders[[#This Row],[Ship Date]],4)</f>
        <v>2014</v>
      </c>
      <c r="F377" s="4" t="s">
        <v>2153</v>
      </c>
      <c r="G377" t="s">
        <v>44</v>
      </c>
      <c r="H377" t="s">
        <v>1215</v>
      </c>
      <c r="I377" t="s">
        <v>1216</v>
      </c>
      <c r="J377" t="s">
        <v>23</v>
      </c>
      <c r="K377" s="5" t="s">
        <v>1977</v>
      </c>
      <c r="L377" s="5" t="str">
        <f t="shared" si="5"/>
        <v>Tucson</v>
      </c>
      <c r="M377" t="s">
        <v>282</v>
      </c>
      <c r="N377">
        <v>85705</v>
      </c>
      <c r="O377" t="s">
        <v>38</v>
      </c>
      <c r="P377" t="s">
        <v>1221</v>
      </c>
      <c r="Q377" t="s">
        <v>64</v>
      </c>
      <c r="R377" t="s">
        <v>145</v>
      </c>
      <c r="S377" t="s">
        <v>1222</v>
      </c>
      <c r="T377">
        <v>479.04</v>
      </c>
      <c r="U377">
        <v>10</v>
      </c>
      <c r="V377">
        <v>0.2</v>
      </c>
      <c r="W377">
        <v>-29.940000000000012</v>
      </c>
    </row>
    <row r="378" spans="1:23" x14ac:dyDescent="0.3">
      <c r="A378">
        <v>377</v>
      </c>
      <c r="B378" t="s">
        <v>1223</v>
      </c>
      <c r="C378" s="2">
        <v>42641</v>
      </c>
      <c r="D378" s="2" t="str">
        <f>LEFT(orders[[#This Row],[Ship Date]],FIND("0",F378)-1)</f>
        <v>1</v>
      </c>
      <c r="E378" s="2" t="str">
        <f>RIGHT(orders[[#This Row],[Ship Date]],4)</f>
        <v>2016</v>
      </c>
      <c r="F378" s="4" t="s">
        <v>2154</v>
      </c>
      <c r="G378" t="s">
        <v>171</v>
      </c>
      <c r="H378" t="s">
        <v>1224</v>
      </c>
      <c r="I378" t="s">
        <v>1225</v>
      </c>
      <c r="J378" t="s">
        <v>36</v>
      </c>
      <c r="K378" s="5" t="s">
        <v>1978</v>
      </c>
      <c r="L378" s="5" t="str">
        <f t="shared" si="5"/>
        <v>Quincy</v>
      </c>
      <c r="M378" t="s">
        <v>192</v>
      </c>
      <c r="N378">
        <v>62301</v>
      </c>
      <c r="O378" t="s">
        <v>95</v>
      </c>
      <c r="P378" t="s">
        <v>1226</v>
      </c>
      <c r="Q378" t="s">
        <v>40</v>
      </c>
      <c r="R378" t="s">
        <v>82</v>
      </c>
      <c r="S378" t="s">
        <v>1227</v>
      </c>
      <c r="T378">
        <v>99.13600000000001</v>
      </c>
      <c r="U378">
        <v>4</v>
      </c>
      <c r="V378">
        <v>0.2</v>
      </c>
      <c r="W378">
        <v>30.979999999999993</v>
      </c>
    </row>
    <row r="379" spans="1:23" x14ac:dyDescent="0.3">
      <c r="A379">
        <v>378</v>
      </c>
      <c r="B379" t="s">
        <v>1228</v>
      </c>
      <c r="C379" s="2">
        <v>42974</v>
      </c>
      <c r="D379" s="2" t="str">
        <f>LEFT(orders[[#This Row],[Ship Date]],FIND("0",F379)-1)</f>
        <v>9</v>
      </c>
      <c r="E379" s="2" t="str">
        <f>RIGHT(orders[[#This Row],[Ship Date]],4)</f>
        <v>2017</v>
      </c>
      <c r="F379" s="4" t="s">
        <v>2155</v>
      </c>
      <c r="G379" t="s">
        <v>44</v>
      </c>
      <c r="H379" t="s">
        <v>1229</v>
      </c>
      <c r="I379" t="s">
        <v>1230</v>
      </c>
      <c r="J379" t="s">
        <v>36</v>
      </c>
      <c r="K379" s="5" t="s">
        <v>1931</v>
      </c>
      <c r="L379" s="5" t="str">
        <f t="shared" si="5"/>
        <v>Franklin</v>
      </c>
      <c r="M379" t="s">
        <v>1153</v>
      </c>
      <c r="N379">
        <v>2038</v>
      </c>
      <c r="O379" t="s">
        <v>133</v>
      </c>
      <c r="P379" t="s">
        <v>1231</v>
      </c>
      <c r="Q379" t="s">
        <v>27</v>
      </c>
      <c r="R379" t="s">
        <v>49</v>
      </c>
      <c r="S379" t="s">
        <v>1232</v>
      </c>
      <c r="T379">
        <v>1488.4239999999998</v>
      </c>
      <c r="U379">
        <v>7</v>
      </c>
      <c r="V379">
        <v>0.3</v>
      </c>
      <c r="W379">
        <v>-297.68479999999983</v>
      </c>
    </row>
    <row r="380" spans="1:23" x14ac:dyDescent="0.3">
      <c r="A380">
        <v>379</v>
      </c>
      <c r="B380" t="s">
        <v>1233</v>
      </c>
      <c r="C380" s="2">
        <v>42122</v>
      </c>
      <c r="D380" s="2" t="str">
        <f>LEFT(orders[[#This Row],[Ship Date]],FIND("0",F380)-1)</f>
        <v>5</v>
      </c>
      <c r="E380" s="2" t="str">
        <f>RIGHT(orders[[#This Row],[Ship Date]],4)</f>
        <v>2015</v>
      </c>
      <c r="F380" s="4" t="s">
        <v>2029</v>
      </c>
      <c r="G380" t="s">
        <v>44</v>
      </c>
      <c r="H380" t="s">
        <v>1234</v>
      </c>
      <c r="I380" t="s">
        <v>1235</v>
      </c>
      <c r="J380" t="s">
        <v>23</v>
      </c>
      <c r="K380" s="5" t="s">
        <v>1896</v>
      </c>
      <c r="L380" s="5" t="str">
        <f t="shared" si="5"/>
        <v>Houston</v>
      </c>
      <c r="M380" t="s">
        <v>94</v>
      </c>
      <c r="N380">
        <v>77095</v>
      </c>
      <c r="O380" t="s">
        <v>95</v>
      </c>
      <c r="P380" t="s">
        <v>1236</v>
      </c>
      <c r="Q380" t="s">
        <v>40</v>
      </c>
      <c r="R380" t="s">
        <v>71</v>
      </c>
      <c r="S380" t="s">
        <v>1237</v>
      </c>
      <c r="T380">
        <v>8.6519999999999975</v>
      </c>
      <c r="U380">
        <v>3</v>
      </c>
      <c r="V380">
        <v>0.8</v>
      </c>
      <c r="W380">
        <v>-20.332200000000007</v>
      </c>
    </row>
    <row r="381" spans="1:23" x14ac:dyDescent="0.3">
      <c r="A381">
        <v>380</v>
      </c>
      <c r="B381" t="s">
        <v>1233</v>
      </c>
      <c r="C381" s="2">
        <v>42122</v>
      </c>
      <c r="D381" s="2" t="str">
        <f>LEFT(orders[[#This Row],[Ship Date]],FIND("0",F381)-1)</f>
        <v>5</v>
      </c>
      <c r="E381" s="2" t="str">
        <f>RIGHT(orders[[#This Row],[Ship Date]],4)</f>
        <v>2015</v>
      </c>
      <c r="F381" s="4" t="s">
        <v>2029</v>
      </c>
      <c r="G381" t="s">
        <v>44</v>
      </c>
      <c r="H381" t="s">
        <v>1234</v>
      </c>
      <c r="I381" t="s">
        <v>1235</v>
      </c>
      <c r="J381" t="s">
        <v>23</v>
      </c>
      <c r="K381" s="5" t="s">
        <v>1896</v>
      </c>
      <c r="L381" s="5" t="str">
        <f t="shared" si="5"/>
        <v>Houston</v>
      </c>
      <c r="M381" t="s">
        <v>94</v>
      </c>
      <c r="N381">
        <v>77095</v>
      </c>
      <c r="O381" t="s">
        <v>95</v>
      </c>
      <c r="P381" t="s">
        <v>1238</v>
      </c>
      <c r="Q381" t="s">
        <v>40</v>
      </c>
      <c r="R381" t="s">
        <v>52</v>
      </c>
      <c r="S381" t="s">
        <v>1239</v>
      </c>
      <c r="T381">
        <v>23.832000000000001</v>
      </c>
      <c r="U381">
        <v>3</v>
      </c>
      <c r="V381">
        <v>0.2</v>
      </c>
      <c r="W381">
        <v>2.6810999999999954</v>
      </c>
    </row>
    <row r="382" spans="1:23" x14ac:dyDescent="0.3">
      <c r="A382">
        <v>381</v>
      </c>
      <c r="B382" t="s">
        <v>1233</v>
      </c>
      <c r="C382" s="2">
        <v>42122</v>
      </c>
      <c r="D382" s="2" t="str">
        <f>LEFT(orders[[#This Row],[Ship Date]],FIND("0",F382)-1)</f>
        <v>5</v>
      </c>
      <c r="E382" s="2" t="str">
        <f>RIGHT(orders[[#This Row],[Ship Date]],4)</f>
        <v>2015</v>
      </c>
      <c r="F382" s="4" t="s">
        <v>2029</v>
      </c>
      <c r="G382" t="s">
        <v>44</v>
      </c>
      <c r="H382" t="s">
        <v>1234</v>
      </c>
      <c r="I382" t="s">
        <v>1235</v>
      </c>
      <c r="J382" t="s">
        <v>23</v>
      </c>
      <c r="K382" s="5" t="s">
        <v>1896</v>
      </c>
      <c r="L382" s="5" t="str">
        <f t="shared" si="5"/>
        <v>Houston</v>
      </c>
      <c r="M382" t="s">
        <v>94</v>
      </c>
      <c r="N382">
        <v>77095</v>
      </c>
      <c r="O382" t="s">
        <v>95</v>
      </c>
      <c r="P382" t="s">
        <v>1240</v>
      </c>
      <c r="Q382" t="s">
        <v>40</v>
      </c>
      <c r="R382" t="s">
        <v>68</v>
      </c>
      <c r="S382" t="s">
        <v>1241</v>
      </c>
      <c r="T382">
        <v>12.175999999999998</v>
      </c>
      <c r="U382">
        <v>4</v>
      </c>
      <c r="V382">
        <v>0.8</v>
      </c>
      <c r="W382">
        <v>-18.872800000000009</v>
      </c>
    </row>
    <row r="383" spans="1:23" x14ac:dyDescent="0.3">
      <c r="A383">
        <v>382</v>
      </c>
      <c r="B383" t="s">
        <v>1242</v>
      </c>
      <c r="C383" s="2">
        <v>42671</v>
      </c>
      <c r="D383" s="2" t="str">
        <f>LEFT(orders[[#This Row],[Ship Date]],FIND("0",F383)-1)</f>
        <v>1</v>
      </c>
      <c r="E383" s="2" t="str">
        <f>RIGHT(orders[[#This Row],[Ship Date]],4)</f>
        <v>2016</v>
      </c>
      <c r="F383" s="4" t="s">
        <v>2156</v>
      </c>
      <c r="G383" t="s">
        <v>171</v>
      </c>
      <c r="H383" t="s">
        <v>1243</v>
      </c>
      <c r="I383" t="s">
        <v>1244</v>
      </c>
      <c r="J383" t="s">
        <v>36</v>
      </c>
      <c r="K383" s="5" t="s">
        <v>1892</v>
      </c>
      <c r="L383" s="5" t="str">
        <f t="shared" si="5"/>
        <v>San Francisco</v>
      </c>
      <c r="M383" t="s">
        <v>37</v>
      </c>
      <c r="N383">
        <v>94109</v>
      </c>
      <c r="O383" t="s">
        <v>38</v>
      </c>
      <c r="P383" t="s">
        <v>1245</v>
      </c>
      <c r="Q383" t="s">
        <v>40</v>
      </c>
      <c r="R383" t="s">
        <v>82</v>
      </c>
      <c r="S383" t="s">
        <v>1246</v>
      </c>
      <c r="T383">
        <v>50.96</v>
      </c>
      <c r="U383">
        <v>7</v>
      </c>
      <c r="V383">
        <v>0</v>
      </c>
      <c r="W383">
        <v>25.48</v>
      </c>
    </row>
    <row r="384" spans="1:23" x14ac:dyDescent="0.3">
      <c r="A384">
        <v>383</v>
      </c>
      <c r="B384" t="s">
        <v>1242</v>
      </c>
      <c r="C384" s="2">
        <v>42671</v>
      </c>
      <c r="D384" s="2" t="str">
        <f>LEFT(orders[[#This Row],[Ship Date]],FIND("0",F384)-1)</f>
        <v>1</v>
      </c>
      <c r="E384" s="2" t="str">
        <f>RIGHT(orders[[#This Row],[Ship Date]],4)</f>
        <v>2016</v>
      </c>
      <c r="F384" s="4" t="s">
        <v>2156</v>
      </c>
      <c r="G384" t="s">
        <v>171</v>
      </c>
      <c r="H384" t="s">
        <v>1243</v>
      </c>
      <c r="I384" t="s">
        <v>1244</v>
      </c>
      <c r="J384" t="s">
        <v>36</v>
      </c>
      <c r="K384" s="5" t="s">
        <v>1892</v>
      </c>
      <c r="L384" s="5" t="str">
        <f t="shared" si="5"/>
        <v>San Francisco</v>
      </c>
      <c r="M384" t="s">
        <v>37</v>
      </c>
      <c r="N384">
        <v>94109</v>
      </c>
      <c r="O384" t="s">
        <v>38</v>
      </c>
      <c r="P384" t="s">
        <v>1247</v>
      </c>
      <c r="Q384" t="s">
        <v>40</v>
      </c>
      <c r="R384" t="s">
        <v>68</v>
      </c>
      <c r="S384" t="s">
        <v>1248</v>
      </c>
      <c r="T384">
        <v>49.536000000000001</v>
      </c>
      <c r="U384">
        <v>3</v>
      </c>
      <c r="V384">
        <v>0.2</v>
      </c>
      <c r="W384">
        <v>17.337599999999998</v>
      </c>
    </row>
    <row r="385" spans="1:23" x14ac:dyDescent="0.3">
      <c r="A385">
        <v>384</v>
      </c>
      <c r="B385" t="s">
        <v>1249</v>
      </c>
      <c r="C385" s="2">
        <v>42181</v>
      </c>
      <c r="D385" s="2" t="str">
        <f>LEFT(orders[[#This Row],[Ship Date]],FIND("0",F385)-1)</f>
        <v>6</v>
      </c>
      <c r="E385" s="2" t="str">
        <f>RIGHT(orders[[#This Row],[Ship Date]],4)</f>
        <v>2015</v>
      </c>
      <c r="F385" s="4" t="s">
        <v>2157</v>
      </c>
      <c r="G385" t="s">
        <v>20</v>
      </c>
      <c r="H385" t="s">
        <v>1250</v>
      </c>
      <c r="I385" t="s">
        <v>1251</v>
      </c>
      <c r="J385" t="s">
        <v>36</v>
      </c>
      <c r="K385" s="5" t="s">
        <v>1963</v>
      </c>
      <c r="L385" s="5" t="str">
        <f t="shared" si="5"/>
        <v>Taylor</v>
      </c>
      <c r="M385" t="s">
        <v>216</v>
      </c>
      <c r="N385">
        <v>48180</v>
      </c>
      <c r="O385" t="s">
        <v>95</v>
      </c>
      <c r="P385" t="s">
        <v>1252</v>
      </c>
      <c r="Q385" t="s">
        <v>64</v>
      </c>
      <c r="R385" t="s">
        <v>145</v>
      </c>
      <c r="S385" t="s">
        <v>1253</v>
      </c>
      <c r="T385">
        <v>41.9</v>
      </c>
      <c r="U385">
        <v>2</v>
      </c>
      <c r="V385">
        <v>0</v>
      </c>
      <c r="W385">
        <v>8.7989999999999995</v>
      </c>
    </row>
    <row r="386" spans="1:23" x14ac:dyDescent="0.3">
      <c r="A386">
        <v>385</v>
      </c>
      <c r="B386" t="s">
        <v>1254</v>
      </c>
      <c r="C386" s="2">
        <v>42335</v>
      </c>
      <c r="D386" s="2" t="str">
        <f>LEFT(orders[[#This Row],[Ship Date]],FIND("0",F386)-1)</f>
        <v>12</v>
      </c>
      <c r="E386" s="2" t="str">
        <f>RIGHT(orders[[#This Row],[Ship Date]],4)</f>
        <v>2015</v>
      </c>
      <c r="F386" s="4" t="s">
        <v>2158</v>
      </c>
      <c r="G386" t="s">
        <v>44</v>
      </c>
      <c r="H386" t="s">
        <v>1255</v>
      </c>
      <c r="I386" t="s">
        <v>1256</v>
      </c>
      <c r="J386" t="s">
        <v>23</v>
      </c>
      <c r="K386" s="5" t="s">
        <v>1979</v>
      </c>
      <c r="L386" s="5" t="str">
        <f t="shared" ref="L386:L449" si="6">_xlfn.TEXTAFTER(K386,",")</f>
        <v>Pembroke Pines</v>
      </c>
      <c r="M386" t="s">
        <v>47</v>
      </c>
      <c r="N386">
        <v>33024</v>
      </c>
      <c r="O386" t="s">
        <v>25</v>
      </c>
      <c r="P386" t="s">
        <v>1257</v>
      </c>
      <c r="Q386" t="s">
        <v>27</v>
      </c>
      <c r="R386" t="s">
        <v>49</v>
      </c>
      <c r="S386" t="s">
        <v>1258</v>
      </c>
      <c r="T386">
        <v>375.45750000000004</v>
      </c>
      <c r="U386">
        <v>3</v>
      </c>
      <c r="V386">
        <v>0.45</v>
      </c>
      <c r="W386">
        <v>-157.00949999999997</v>
      </c>
    </row>
    <row r="387" spans="1:23" x14ac:dyDescent="0.3">
      <c r="A387">
        <v>386</v>
      </c>
      <c r="B387" t="s">
        <v>1254</v>
      </c>
      <c r="C387" s="2">
        <v>42335</v>
      </c>
      <c r="D387" s="2" t="str">
        <f>LEFT(orders[[#This Row],[Ship Date]],FIND("0",F387)-1)</f>
        <v>12</v>
      </c>
      <c r="E387" s="2" t="str">
        <f>RIGHT(orders[[#This Row],[Ship Date]],4)</f>
        <v>2015</v>
      </c>
      <c r="F387" s="4" t="s">
        <v>2158</v>
      </c>
      <c r="G387" t="s">
        <v>44</v>
      </c>
      <c r="H387" t="s">
        <v>1255</v>
      </c>
      <c r="I387" t="s">
        <v>1256</v>
      </c>
      <c r="J387" t="s">
        <v>23</v>
      </c>
      <c r="K387" s="5" t="s">
        <v>1979</v>
      </c>
      <c r="L387" s="5" t="str">
        <f t="shared" si="6"/>
        <v>Pembroke Pines</v>
      </c>
      <c r="M387" t="s">
        <v>47</v>
      </c>
      <c r="N387">
        <v>33024</v>
      </c>
      <c r="O387" t="s">
        <v>25</v>
      </c>
      <c r="P387" t="s">
        <v>1259</v>
      </c>
      <c r="Q387" t="s">
        <v>64</v>
      </c>
      <c r="R387" t="s">
        <v>145</v>
      </c>
      <c r="S387" t="s">
        <v>1260</v>
      </c>
      <c r="T387">
        <v>83.976000000000013</v>
      </c>
      <c r="U387">
        <v>3</v>
      </c>
      <c r="V387">
        <v>0.2</v>
      </c>
      <c r="W387">
        <v>-1.049700000000005</v>
      </c>
    </row>
    <row r="388" spans="1:23" x14ac:dyDescent="0.3">
      <c r="A388">
        <v>387</v>
      </c>
      <c r="B388" t="s">
        <v>1261</v>
      </c>
      <c r="C388" s="2">
        <v>42341</v>
      </c>
      <c r="D388" s="2" t="str">
        <f>LEFT(orders[[#This Row],[Ship Date]],FIND("0",F388)-1)</f>
        <v>12</v>
      </c>
      <c r="E388" s="2" t="str">
        <f>RIGHT(orders[[#This Row],[Ship Date]],4)</f>
        <v>2015</v>
      </c>
      <c r="F388" s="4" t="s">
        <v>2159</v>
      </c>
      <c r="G388" t="s">
        <v>44</v>
      </c>
      <c r="H388" t="s">
        <v>1262</v>
      </c>
      <c r="I388" t="s">
        <v>1263</v>
      </c>
      <c r="J388" t="s">
        <v>36</v>
      </c>
      <c r="K388" s="5" t="s">
        <v>1894</v>
      </c>
      <c r="L388" s="5" t="str">
        <f t="shared" si="6"/>
        <v>Philadelphia</v>
      </c>
      <c r="M388" t="s">
        <v>132</v>
      </c>
      <c r="N388">
        <v>19140</v>
      </c>
      <c r="O388" t="s">
        <v>133</v>
      </c>
      <c r="P388" t="s">
        <v>1264</v>
      </c>
      <c r="Q388" t="s">
        <v>64</v>
      </c>
      <c r="R388" t="s">
        <v>627</v>
      </c>
      <c r="S388" t="s">
        <v>1265</v>
      </c>
      <c r="T388">
        <v>482.34000000000003</v>
      </c>
      <c r="U388">
        <v>4</v>
      </c>
      <c r="V388">
        <v>0.7</v>
      </c>
      <c r="W388">
        <v>-337.63799999999981</v>
      </c>
    </row>
    <row r="389" spans="1:23" x14ac:dyDescent="0.3">
      <c r="A389">
        <v>388</v>
      </c>
      <c r="B389" t="s">
        <v>1261</v>
      </c>
      <c r="C389" s="2">
        <v>42341</v>
      </c>
      <c r="D389" s="2" t="str">
        <f>LEFT(orders[[#This Row],[Ship Date]],FIND("0",F389)-1)</f>
        <v>12</v>
      </c>
      <c r="E389" s="2" t="str">
        <f>RIGHT(orders[[#This Row],[Ship Date]],4)</f>
        <v>2015</v>
      </c>
      <c r="F389" s="4" t="s">
        <v>2159</v>
      </c>
      <c r="G389" t="s">
        <v>44</v>
      </c>
      <c r="H389" t="s">
        <v>1262</v>
      </c>
      <c r="I389" t="s">
        <v>1263</v>
      </c>
      <c r="J389" t="s">
        <v>36</v>
      </c>
      <c r="K389" s="5" t="s">
        <v>1894</v>
      </c>
      <c r="L389" s="5" t="str">
        <f t="shared" si="6"/>
        <v>Philadelphia</v>
      </c>
      <c r="M389" t="s">
        <v>132</v>
      </c>
      <c r="N389">
        <v>19140</v>
      </c>
      <c r="O389" t="s">
        <v>133</v>
      </c>
      <c r="P389" t="s">
        <v>1266</v>
      </c>
      <c r="Q389" t="s">
        <v>27</v>
      </c>
      <c r="R389" t="s">
        <v>58</v>
      </c>
      <c r="S389" t="s">
        <v>1267</v>
      </c>
      <c r="T389">
        <v>2.9600000000000004</v>
      </c>
      <c r="U389">
        <v>1</v>
      </c>
      <c r="V389">
        <v>0.2</v>
      </c>
      <c r="W389">
        <v>0.77700000000000025</v>
      </c>
    </row>
    <row r="390" spans="1:23" x14ac:dyDescent="0.3">
      <c r="A390">
        <v>389</v>
      </c>
      <c r="B390" t="s">
        <v>1268</v>
      </c>
      <c r="C390" s="2">
        <v>41967</v>
      </c>
      <c r="D390" s="2" t="str">
        <f>LEFT(orders[[#This Row],[Ship Date]],FIND("0",F390)-1)</f>
        <v>11</v>
      </c>
      <c r="E390" s="2" t="str">
        <f>RIGHT(orders[[#This Row],[Ship Date]],4)</f>
        <v>2014</v>
      </c>
      <c r="F390" s="4" t="s">
        <v>2160</v>
      </c>
      <c r="G390" t="s">
        <v>171</v>
      </c>
      <c r="H390" t="s">
        <v>1269</v>
      </c>
      <c r="I390" t="s">
        <v>1270</v>
      </c>
      <c r="J390" t="s">
        <v>23</v>
      </c>
      <c r="K390" s="5" t="s">
        <v>1958</v>
      </c>
      <c r="L390" s="5" t="str">
        <f t="shared" si="6"/>
        <v>Cincinnati</v>
      </c>
      <c r="M390" t="s">
        <v>455</v>
      </c>
      <c r="N390">
        <v>45231</v>
      </c>
      <c r="O390" t="s">
        <v>133</v>
      </c>
      <c r="P390" t="s">
        <v>1271</v>
      </c>
      <c r="Q390" t="s">
        <v>40</v>
      </c>
      <c r="R390" t="s">
        <v>61</v>
      </c>
      <c r="S390" t="s">
        <v>1272</v>
      </c>
      <c r="T390">
        <v>2.6240000000000001</v>
      </c>
      <c r="U390">
        <v>1</v>
      </c>
      <c r="V390">
        <v>0.2</v>
      </c>
      <c r="W390">
        <v>0.42639999999999978</v>
      </c>
    </row>
    <row r="391" spans="1:23" x14ac:dyDescent="0.3">
      <c r="A391">
        <v>390</v>
      </c>
      <c r="B391" t="s">
        <v>1273</v>
      </c>
      <c r="C391" s="2">
        <v>43080</v>
      </c>
      <c r="D391" s="2" t="str">
        <f>LEFT(orders[[#This Row],[Ship Date]],FIND("0",F391)-1)</f>
        <v>12</v>
      </c>
      <c r="E391" s="2" t="str">
        <f>RIGHT(orders[[#This Row],[Ship Date]],4)</f>
        <v>2017</v>
      </c>
      <c r="F391" s="4" t="s">
        <v>2161</v>
      </c>
      <c r="G391" t="s">
        <v>44</v>
      </c>
      <c r="H391" t="s">
        <v>1274</v>
      </c>
      <c r="I391" t="s">
        <v>1275</v>
      </c>
      <c r="J391" t="s">
        <v>23</v>
      </c>
      <c r="K391" s="5" t="s">
        <v>1904</v>
      </c>
      <c r="L391" s="5" t="str">
        <f t="shared" si="6"/>
        <v>New York City</v>
      </c>
      <c r="M391" t="s">
        <v>242</v>
      </c>
      <c r="N391">
        <v>10009</v>
      </c>
      <c r="O391" t="s">
        <v>133</v>
      </c>
      <c r="P391" t="s">
        <v>1276</v>
      </c>
      <c r="Q391" t="s">
        <v>40</v>
      </c>
      <c r="R391" t="s">
        <v>68</v>
      </c>
      <c r="S391" t="s">
        <v>1277</v>
      </c>
      <c r="T391">
        <v>23.36</v>
      </c>
      <c r="U391">
        <v>4</v>
      </c>
      <c r="V391">
        <v>0.2</v>
      </c>
      <c r="W391">
        <v>7.8839999999999986</v>
      </c>
    </row>
    <row r="392" spans="1:23" x14ac:dyDescent="0.3">
      <c r="A392">
        <v>391</v>
      </c>
      <c r="B392" t="s">
        <v>1273</v>
      </c>
      <c r="C392" s="2">
        <v>43080</v>
      </c>
      <c r="D392" s="2" t="str">
        <f>LEFT(orders[[#This Row],[Ship Date]],FIND("0",F392)-1)</f>
        <v>12</v>
      </c>
      <c r="E392" s="2" t="str">
        <f>RIGHT(orders[[#This Row],[Ship Date]],4)</f>
        <v>2017</v>
      </c>
      <c r="F392" s="4" t="s">
        <v>2161</v>
      </c>
      <c r="G392" t="s">
        <v>44</v>
      </c>
      <c r="H392" t="s">
        <v>1274</v>
      </c>
      <c r="I392" t="s">
        <v>1275</v>
      </c>
      <c r="J392" t="s">
        <v>23</v>
      </c>
      <c r="K392" s="5" t="s">
        <v>1904</v>
      </c>
      <c r="L392" s="5" t="str">
        <f t="shared" si="6"/>
        <v>New York City</v>
      </c>
      <c r="M392" t="s">
        <v>242</v>
      </c>
      <c r="N392">
        <v>10009</v>
      </c>
      <c r="O392" t="s">
        <v>133</v>
      </c>
      <c r="P392" t="s">
        <v>355</v>
      </c>
      <c r="Q392" t="s">
        <v>64</v>
      </c>
      <c r="R392" t="s">
        <v>145</v>
      </c>
      <c r="S392" t="s">
        <v>356</v>
      </c>
      <c r="T392">
        <v>39.979999999999997</v>
      </c>
      <c r="U392">
        <v>2</v>
      </c>
      <c r="V392">
        <v>0</v>
      </c>
      <c r="W392">
        <v>13.593199999999996</v>
      </c>
    </row>
    <row r="393" spans="1:23" x14ac:dyDescent="0.3">
      <c r="A393">
        <v>392</v>
      </c>
      <c r="B393" t="s">
        <v>1278</v>
      </c>
      <c r="C393" s="2">
        <v>41903</v>
      </c>
      <c r="D393" s="2" t="str">
        <f>LEFT(orders[[#This Row],[Ship Date]],FIND("0",F393)-1)</f>
        <v>9</v>
      </c>
      <c r="E393" s="2" t="str">
        <f>RIGHT(orders[[#This Row],[Ship Date]],4)</f>
        <v>2014</v>
      </c>
      <c r="F393" s="4" t="s">
        <v>2162</v>
      </c>
      <c r="G393" t="s">
        <v>20</v>
      </c>
      <c r="H393" t="s">
        <v>1279</v>
      </c>
      <c r="I393" t="s">
        <v>1280</v>
      </c>
      <c r="J393" t="s">
        <v>23</v>
      </c>
      <c r="K393" s="5" t="s">
        <v>1980</v>
      </c>
      <c r="L393" s="5" t="str">
        <f t="shared" si="6"/>
        <v>Des Moines</v>
      </c>
      <c r="M393" t="s">
        <v>87</v>
      </c>
      <c r="N393">
        <v>98198</v>
      </c>
      <c r="O393" t="s">
        <v>38</v>
      </c>
      <c r="P393" t="s">
        <v>1281</v>
      </c>
      <c r="Q393" t="s">
        <v>64</v>
      </c>
      <c r="R393" t="s">
        <v>65</v>
      </c>
      <c r="S393" t="s">
        <v>1282</v>
      </c>
      <c r="T393">
        <v>246.38400000000001</v>
      </c>
      <c r="U393">
        <v>2</v>
      </c>
      <c r="V393">
        <v>0.2</v>
      </c>
      <c r="W393">
        <v>27.718199999999968</v>
      </c>
    </row>
    <row r="394" spans="1:23" x14ac:dyDescent="0.3">
      <c r="A394">
        <v>393</v>
      </c>
      <c r="B394" t="s">
        <v>1278</v>
      </c>
      <c r="C394" s="2">
        <v>41903</v>
      </c>
      <c r="D394" s="2" t="str">
        <f>LEFT(orders[[#This Row],[Ship Date]],FIND("0",F394)-1)</f>
        <v>9</v>
      </c>
      <c r="E394" s="2" t="str">
        <f>RIGHT(orders[[#This Row],[Ship Date]],4)</f>
        <v>2014</v>
      </c>
      <c r="F394" s="4" t="s">
        <v>2162</v>
      </c>
      <c r="G394" t="s">
        <v>20</v>
      </c>
      <c r="H394" t="s">
        <v>1279</v>
      </c>
      <c r="I394" t="s">
        <v>1280</v>
      </c>
      <c r="J394" t="s">
        <v>23</v>
      </c>
      <c r="K394" s="5" t="s">
        <v>1980</v>
      </c>
      <c r="L394" s="5" t="str">
        <f t="shared" si="6"/>
        <v>Des Moines</v>
      </c>
      <c r="M394" t="s">
        <v>87</v>
      </c>
      <c r="N394">
        <v>98198</v>
      </c>
      <c r="O394" t="s">
        <v>38</v>
      </c>
      <c r="P394" t="s">
        <v>1283</v>
      </c>
      <c r="Q394" t="s">
        <v>64</v>
      </c>
      <c r="R394" t="s">
        <v>1127</v>
      </c>
      <c r="S394" t="s">
        <v>1284</v>
      </c>
      <c r="T394">
        <v>1799.97</v>
      </c>
      <c r="U394">
        <v>3</v>
      </c>
      <c r="V394">
        <v>0</v>
      </c>
      <c r="W394">
        <v>701.98829999999998</v>
      </c>
    </row>
    <row r="395" spans="1:23" x14ac:dyDescent="0.3">
      <c r="A395">
        <v>394</v>
      </c>
      <c r="B395" t="s">
        <v>1285</v>
      </c>
      <c r="C395" s="2">
        <v>41797</v>
      </c>
      <c r="D395" s="2" t="str">
        <f>LEFT(orders[[#This Row],[Ship Date]],FIND("0",F395)-1)</f>
        <v>6</v>
      </c>
      <c r="E395" s="2" t="str">
        <f>RIGHT(orders[[#This Row],[Ship Date]],4)</f>
        <v>2014</v>
      </c>
      <c r="F395" s="4" t="s">
        <v>2163</v>
      </c>
      <c r="G395" t="s">
        <v>20</v>
      </c>
      <c r="H395" t="s">
        <v>1286</v>
      </c>
      <c r="I395" t="s">
        <v>1287</v>
      </c>
      <c r="J395" t="s">
        <v>36</v>
      </c>
      <c r="K395" s="5" t="s">
        <v>1981</v>
      </c>
      <c r="L395" s="5" t="str">
        <f t="shared" si="6"/>
        <v>Peoria</v>
      </c>
      <c r="M395" t="s">
        <v>192</v>
      </c>
      <c r="N395">
        <v>61604</v>
      </c>
      <c r="O395" t="s">
        <v>95</v>
      </c>
      <c r="P395" t="s">
        <v>1288</v>
      </c>
      <c r="Q395" t="s">
        <v>40</v>
      </c>
      <c r="R395" t="s">
        <v>68</v>
      </c>
      <c r="S395" t="s">
        <v>1289</v>
      </c>
      <c r="T395">
        <v>12.461999999999996</v>
      </c>
      <c r="U395">
        <v>3</v>
      </c>
      <c r="V395">
        <v>0.8</v>
      </c>
      <c r="W395">
        <v>-20.5623</v>
      </c>
    </row>
    <row r="396" spans="1:23" x14ac:dyDescent="0.3">
      <c r="A396">
        <v>395</v>
      </c>
      <c r="B396" t="s">
        <v>1290</v>
      </c>
      <c r="C396" s="2">
        <v>42916</v>
      </c>
      <c r="D396" s="2" t="str">
        <f>LEFT(orders[[#This Row],[Ship Date]],FIND("0",F396)-1)</f>
        <v>7</v>
      </c>
      <c r="E396" s="2" t="str">
        <f>RIGHT(orders[[#This Row],[Ship Date]],4)</f>
        <v>2017</v>
      </c>
      <c r="F396" s="4" t="s">
        <v>2164</v>
      </c>
      <c r="G396" t="s">
        <v>44</v>
      </c>
      <c r="H396" t="s">
        <v>1291</v>
      </c>
      <c r="I396" t="s">
        <v>1292</v>
      </c>
      <c r="J396" t="s">
        <v>93</v>
      </c>
      <c r="K396" s="5" t="s">
        <v>1982</v>
      </c>
      <c r="L396" s="5" t="str">
        <f t="shared" si="6"/>
        <v>Las Vegas</v>
      </c>
      <c r="M396" t="s">
        <v>1293</v>
      </c>
      <c r="N396">
        <v>89115</v>
      </c>
      <c r="O396" t="s">
        <v>38</v>
      </c>
      <c r="P396" t="s">
        <v>1294</v>
      </c>
      <c r="Q396" t="s">
        <v>40</v>
      </c>
      <c r="R396" t="s">
        <v>68</v>
      </c>
      <c r="S396" t="s">
        <v>1295</v>
      </c>
      <c r="T396">
        <v>75.792000000000002</v>
      </c>
      <c r="U396">
        <v>3</v>
      </c>
      <c r="V396">
        <v>0.2</v>
      </c>
      <c r="W396">
        <v>25.579799999999992</v>
      </c>
    </row>
    <row r="397" spans="1:23" x14ac:dyDescent="0.3">
      <c r="A397">
        <v>396</v>
      </c>
      <c r="B397" t="s">
        <v>1296</v>
      </c>
      <c r="C397" s="2">
        <v>43025</v>
      </c>
      <c r="D397" s="2" t="str">
        <f>LEFT(orders[[#This Row],[Ship Date]],FIND("0",F397)-1)</f>
        <v>1</v>
      </c>
      <c r="E397" s="2" t="str">
        <f>RIGHT(orders[[#This Row],[Ship Date]],4)</f>
        <v>2017</v>
      </c>
      <c r="F397" s="4" t="s">
        <v>2165</v>
      </c>
      <c r="G397" t="s">
        <v>20</v>
      </c>
      <c r="H397" t="s">
        <v>1297</v>
      </c>
      <c r="I397" t="s">
        <v>1298</v>
      </c>
      <c r="J397" t="s">
        <v>36</v>
      </c>
      <c r="K397" s="5" t="s">
        <v>1983</v>
      </c>
      <c r="L397" s="5" t="str">
        <f t="shared" si="6"/>
        <v>Warwick</v>
      </c>
      <c r="M397" t="s">
        <v>1299</v>
      </c>
      <c r="N397">
        <v>2886</v>
      </c>
      <c r="O397" t="s">
        <v>133</v>
      </c>
      <c r="P397" t="s">
        <v>1300</v>
      </c>
      <c r="Q397" t="s">
        <v>40</v>
      </c>
      <c r="R397" t="s">
        <v>52</v>
      </c>
      <c r="S397" t="s">
        <v>1301</v>
      </c>
      <c r="T397">
        <v>49.96</v>
      </c>
      <c r="U397">
        <v>2</v>
      </c>
      <c r="V397">
        <v>0</v>
      </c>
      <c r="W397">
        <v>9.4923999999999964</v>
      </c>
    </row>
    <row r="398" spans="1:23" x14ac:dyDescent="0.3">
      <c r="A398">
        <v>397</v>
      </c>
      <c r="B398" t="s">
        <v>1296</v>
      </c>
      <c r="C398" s="2">
        <v>43025</v>
      </c>
      <c r="D398" s="2" t="str">
        <f>LEFT(orders[[#This Row],[Ship Date]],FIND("0",F398)-1)</f>
        <v>1</v>
      </c>
      <c r="E398" s="2" t="str">
        <f>RIGHT(orders[[#This Row],[Ship Date]],4)</f>
        <v>2017</v>
      </c>
      <c r="F398" s="4" t="s">
        <v>2165</v>
      </c>
      <c r="G398" t="s">
        <v>20</v>
      </c>
      <c r="H398" t="s">
        <v>1297</v>
      </c>
      <c r="I398" t="s">
        <v>1298</v>
      </c>
      <c r="J398" t="s">
        <v>36</v>
      </c>
      <c r="K398" s="5" t="s">
        <v>1983</v>
      </c>
      <c r="L398" s="5" t="str">
        <f t="shared" si="6"/>
        <v>Warwick</v>
      </c>
      <c r="M398" t="s">
        <v>1299</v>
      </c>
      <c r="N398">
        <v>2886</v>
      </c>
      <c r="O398" t="s">
        <v>133</v>
      </c>
      <c r="P398" t="s">
        <v>1302</v>
      </c>
      <c r="Q398" t="s">
        <v>40</v>
      </c>
      <c r="R398" t="s">
        <v>82</v>
      </c>
      <c r="S398" t="s">
        <v>1303</v>
      </c>
      <c r="T398">
        <v>12.96</v>
      </c>
      <c r="U398">
        <v>2</v>
      </c>
      <c r="V398">
        <v>0</v>
      </c>
      <c r="W398">
        <v>6.2208000000000006</v>
      </c>
    </row>
    <row r="399" spans="1:23" x14ac:dyDescent="0.3">
      <c r="A399">
        <v>398</v>
      </c>
      <c r="B399" t="s">
        <v>1304</v>
      </c>
      <c r="C399" s="2">
        <v>42308</v>
      </c>
      <c r="D399" s="2" t="str">
        <f>LEFT(orders[[#This Row],[Ship Date]],FIND("0",F399)-1)</f>
        <v>11</v>
      </c>
      <c r="E399" s="2" t="str">
        <f>RIGHT(orders[[#This Row],[Ship Date]],4)</f>
        <v>2015</v>
      </c>
      <c r="F399" s="4" t="s">
        <v>2166</v>
      </c>
      <c r="G399" t="s">
        <v>44</v>
      </c>
      <c r="H399" t="s">
        <v>91</v>
      </c>
      <c r="I399" t="s">
        <v>92</v>
      </c>
      <c r="J399" t="s">
        <v>93</v>
      </c>
      <c r="K399" s="5" t="s">
        <v>1909</v>
      </c>
      <c r="L399" s="5" t="str">
        <f t="shared" si="6"/>
        <v>Jackson</v>
      </c>
      <c r="M399" t="s">
        <v>216</v>
      </c>
      <c r="N399">
        <v>49201</v>
      </c>
      <c r="O399" t="s">
        <v>95</v>
      </c>
      <c r="P399" t="s">
        <v>1305</v>
      </c>
      <c r="Q399" t="s">
        <v>40</v>
      </c>
      <c r="R399" t="s">
        <v>531</v>
      </c>
      <c r="S399" t="s">
        <v>1306</v>
      </c>
      <c r="T399">
        <v>70.12</v>
      </c>
      <c r="U399">
        <v>4</v>
      </c>
      <c r="V399">
        <v>0</v>
      </c>
      <c r="W399">
        <v>21.035999999999994</v>
      </c>
    </row>
    <row r="400" spans="1:23" x14ac:dyDescent="0.3">
      <c r="A400">
        <v>399</v>
      </c>
      <c r="B400" t="s">
        <v>1307</v>
      </c>
      <c r="C400" s="2">
        <v>42621</v>
      </c>
      <c r="D400" s="2" t="str">
        <f>LEFT(orders[[#This Row],[Ship Date]],FIND("0",F400)-1)</f>
        <v>9</v>
      </c>
      <c r="E400" s="2" t="str">
        <f>RIGHT(orders[[#This Row],[Ship Date]],4)</f>
        <v>2016</v>
      </c>
      <c r="F400" s="4" t="s">
        <v>2167</v>
      </c>
      <c r="G400" t="s">
        <v>20</v>
      </c>
      <c r="H400" t="s">
        <v>1308</v>
      </c>
      <c r="I400" t="s">
        <v>1309</v>
      </c>
      <c r="J400" t="s">
        <v>23</v>
      </c>
      <c r="K400" s="5" t="s">
        <v>1896</v>
      </c>
      <c r="L400" s="5" t="str">
        <f t="shared" si="6"/>
        <v>Houston</v>
      </c>
      <c r="M400" t="s">
        <v>94</v>
      </c>
      <c r="N400">
        <v>77036</v>
      </c>
      <c r="O400" t="s">
        <v>95</v>
      </c>
      <c r="P400" t="s">
        <v>1310</v>
      </c>
      <c r="Q400" t="s">
        <v>40</v>
      </c>
      <c r="R400" t="s">
        <v>52</v>
      </c>
      <c r="S400" t="s">
        <v>1311</v>
      </c>
      <c r="T400">
        <v>35.952000000000005</v>
      </c>
      <c r="U400">
        <v>3</v>
      </c>
      <c r="V400">
        <v>0.2</v>
      </c>
      <c r="W400">
        <v>3.5951999999999984</v>
      </c>
    </row>
    <row r="401" spans="1:23" x14ac:dyDescent="0.3">
      <c r="A401">
        <v>400</v>
      </c>
      <c r="B401" t="s">
        <v>1307</v>
      </c>
      <c r="C401" s="2">
        <v>42621</v>
      </c>
      <c r="D401" s="2" t="str">
        <f>LEFT(orders[[#This Row],[Ship Date]],FIND("0",F401)-1)</f>
        <v>9</v>
      </c>
      <c r="E401" s="2" t="str">
        <f>RIGHT(orders[[#This Row],[Ship Date]],4)</f>
        <v>2016</v>
      </c>
      <c r="F401" s="4" t="s">
        <v>2167</v>
      </c>
      <c r="G401" t="s">
        <v>20</v>
      </c>
      <c r="H401" t="s">
        <v>1308</v>
      </c>
      <c r="I401" t="s">
        <v>1309</v>
      </c>
      <c r="J401" t="s">
        <v>23</v>
      </c>
      <c r="K401" s="5" t="s">
        <v>1896</v>
      </c>
      <c r="L401" s="5" t="str">
        <f t="shared" si="6"/>
        <v>Houston</v>
      </c>
      <c r="M401" t="s">
        <v>94</v>
      </c>
      <c r="N401">
        <v>77036</v>
      </c>
      <c r="O401" t="s">
        <v>95</v>
      </c>
      <c r="P401" t="s">
        <v>150</v>
      </c>
      <c r="Q401" t="s">
        <v>27</v>
      </c>
      <c r="R401" t="s">
        <v>28</v>
      </c>
      <c r="S401" t="s">
        <v>151</v>
      </c>
      <c r="T401">
        <v>2396.2655999999997</v>
      </c>
      <c r="U401">
        <v>4</v>
      </c>
      <c r="V401">
        <v>0.32</v>
      </c>
      <c r="W401">
        <v>-317.15280000000007</v>
      </c>
    </row>
    <row r="402" spans="1:23" x14ac:dyDescent="0.3">
      <c r="A402">
        <v>401</v>
      </c>
      <c r="B402" t="s">
        <v>1307</v>
      </c>
      <c r="C402" s="2">
        <v>42621</v>
      </c>
      <c r="D402" s="2" t="str">
        <f>LEFT(orders[[#This Row],[Ship Date]],FIND("0",F402)-1)</f>
        <v>9</v>
      </c>
      <c r="E402" s="2" t="str">
        <f>RIGHT(orders[[#This Row],[Ship Date]],4)</f>
        <v>2016</v>
      </c>
      <c r="F402" s="4" t="s">
        <v>2167</v>
      </c>
      <c r="G402" t="s">
        <v>20</v>
      </c>
      <c r="H402" t="s">
        <v>1308</v>
      </c>
      <c r="I402" t="s">
        <v>1309</v>
      </c>
      <c r="J402" t="s">
        <v>23</v>
      </c>
      <c r="K402" s="5" t="s">
        <v>1896</v>
      </c>
      <c r="L402" s="5" t="str">
        <f t="shared" si="6"/>
        <v>Houston</v>
      </c>
      <c r="M402" t="s">
        <v>94</v>
      </c>
      <c r="N402">
        <v>77036</v>
      </c>
      <c r="O402" t="s">
        <v>95</v>
      </c>
      <c r="P402" t="s">
        <v>1312</v>
      </c>
      <c r="Q402" t="s">
        <v>40</v>
      </c>
      <c r="R402" t="s">
        <v>52</v>
      </c>
      <c r="S402" t="s">
        <v>1313</v>
      </c>
      <c r="T402">
        <v>131.136</v>
      </c>
      <c r="U402">
        <v>4</v>
      </c>
      <c r="V402">
        <v>0.2</v>
      </c>
      <c r="W402">
        <v>-32.783999999999999</v>
      </c>
    </row>
    <row r="403" spans="1:23" x14ac:dyDescent="0.3">
      <c r="A403">
        <v>402</v>
      </c>
      <c r="B403" t="s">
        <v>1307</v>
      </c>
      <c r="C403" s="2">
        <v>42621</v>
      </c>
      <c r="D403" s="2" t="str">
        <f>LEFT(orders[[#This Row],[Ship Date]],FIND("0",F403)-1)</f>
        <v>9</v>
      </c>
      <c r="E403" s="2" t="str">
        <f>RIGHT(orders[[#This Row],[Ship Date]],4)</f>
        <v>2016</v>
      </c>
      <c r="F403" s="4" t="s">
        <v>2167</v>
      </c>
      <c r="G403" t="s">
        <v>20</v>
      </c>
      <c r="H403" t="s">
        <v>1308</v>
      </c>
      <c r="I403" t="s">
        <v>1309</v>
      </c>
      <c r="J403" t="s">
        <v>23</v>
      </c>
      <c r="K403" s="5" t="s">
        <v>1896</v>
      </c>
      <c r="L403" s="5" t="str">
        <f t="shared" si="6"/>
        <v>Houston</v>
      </c>
      <c r="M403" t="s">
        <v>94</v>
      </c>
      <c r="N403">
        <v>77036</v>
      </c>
      <c r="O403" t="s">
        <v>95</v>
      </c>
      <c r="P403" t="s">
        <v>1314</v>
      </c>
      <c r="Q403" t="s">
        <v>64</v>
      </c>
      <c r="R403" t="s">
        <v>145</v>
      </c>
      <c r="S403" t="s">
        <v>1315</v>
      </c>
      <c r="T403">
        <v>57.584000000000003</v>
      </c>
      <c r="U403">
        <v>2</v>
      </c>
      <c r="V403">
        <v>0.2</v>
      </c>
      <c r="W403">
        <v>0.71979999999999933</v>
      </c>
    </row>
    <row r="404" spans="1:23" x14ac:dyDescent="0.3">
      <c r="A404">
        <v>403</v>
      </c>
      <c r="B404" t="s">
        <v>1316</v>
      </c>
      <c r="C404" s="2">
        <v>41997</v>
      </c>
      <c r="D404" s="2" t="str">
        <f>LEFT(orders[[#This Row],[Ship Date]],FIND("0",F404)-1)</f>
        <v>12</v>
      </c>
      <c r="E404" s="2" t="str">
        <f>RIGHT(orders[[#This Row],[Ship Date]],4)</f>
        <v>2014</v>
      </c>
      <c r="F404" s="4" t="s">
        <v>2168</v>
      </c>
      <c r="G404" t="s">
        <v>171</v>
      </c>
      <c r="H404" t="s">
        <v>1317</v>
      </c>
      <c r="I404" t="s">
        <v>1318</v>
      </c>
      <c r="J404" t="s">
        <v>23</v>
      </c>
      <c r="K404" s="5" t="s">
        <v>1984</v>
      </c>
      <c r="L404" s="5" t="str">
        <f t="shared" si="6"/>
        <v>Miami</v>
      </c>
      <c r="M404" t="s">
        <v>47</v>
      </c>
      <c r="N404">
        <v>33180</v>
      </c>
      <c r="O404" t="s">
        <v>25</v>
      </c>
      <c r="P404" t="s">
        <v>1319</v>
      </c>
      <c r="Q404" t="s">
        <v>40</v>
      </c>
      <c r="R404" t="s">
        <v>82</v>
      </c>
      <c r="S404" t="s">
        <v>1320</v>
      </c>
      <c r="T404">
        <v>9.5680000000000014</v>
      </c>
      <c r="U404">
        <v>2</v>
      </c>
      <c r="V404">
        <v>0.2</v>
      </c>
      <c r="W404">
        <v>3.4683999999999999</v>
      </c>
    </row>
    <row r="405" spans="1:23" x14ac:dyDescent="0.3">
      <c r="A405">
        <v>404</v>
      </c>
      <c r="B405" t="s">
        <v>1321</v>
      </c>
      <c r="C405" s="2">
        <v>41745</v>
      </c>
      <c r="D405" s="2" t="str">
        <f>LEFT(orders[[#This Row],[Ship Date]],FIND("0",F405)-1)</f>
        <v>4</v>
      </c>
      <c r="E405" s="2" t="str">
        <f>RIGHT(orders[[#This Row],[Ship Date]],4)</f>
        <v>2014</v>
      </c>
      <c r="F405" s="4" t="s">
        <v>2169</v>
      </c>
      <c r="G405" t="s">
        <v>44</v>
      </c>
      <c r="H405" t="s">
        <v>576</v>
      </c>
      <c r="I405" t="s">
        <v>577</v>
      </c>
      <c r="J405" t="s">
        <v>36</v>
      </c>
      <c r="K405" s="5" t="s">
        <v>1924</v>
      </c>
      <c r="L405" s="5" t="str">
        <f t="shared" si="6"/>
        <v>Wilmington</v>
      </c>
      <c r="M405" t="s">
        <v>80</v>
      </c>
      <c r="N405">
        <v>28403</v>
      </c>
      <c r="O405" t="s">
        <v>25</v>
      </c>
      <c r="P405" t="s">
        <v>1322</v>
      </c>
      <c r="Q405" t="s">
        <v>40</v>
      </c>
      <c r="R405" t="s">
        <v>61</v>
      </c>
      <c r="S405" t="s">
        <v>1323</v>
      </c>
      <c r="T405">
        <v>39.072000000000003</v>
      </c>
      <c r="U405">
        <v>6</v>
      </c>
      <c r="V405">
        <v>0.2</v>
      </c>
      <c r="W405">
        <v>9.7680000000000007</v>
      </c>
    </row>
    <row r="406" spans="1:23" x14ac:dyDescent="0.3">
      <c r="A406">
        <v>405</v>
      </c>
      <c r="B406" t="s">
        <v>1324</v>
      </c>
      <c r="C406" s="2">
        <v>43093</v>
      </c>
      <c r="D406" s="2" t="str">
        <f>LEFT(orders[[#This Row],[Ship Date]],FIND("0",F406)-1)</f>
        <v>12</v>
      </c>
      <c r="E406" s="2" t="str">
        <f>RIGHT(orders[[#This Row],[Ship Date]],4)</f>
        <v>2017</v>
      </c>
      <c r="F406" s="4" t="s">
        <v>2170</v>
      </c>
      <c r="G406" t="s">
        <v>44</v>
      </c>
      <c r="H406" t="s">
        <v>1325</v>
      </c>
      <c r="I406" t="s">
        <v>1326</v>
      </c>
      <c r="J406" t="s">
        <v>23</v>
      </c>
      <c r="K406" s="5" t="s">
        <v>1904</v>
      </c>
      <c r="L406" s="5" t="str">
        <f t="shared" si="6"/>
        <v>New York City</v>
      </c>
      <c r="M406" t="s">
        <v>242</v>
      </c>
      <c r="N406">
        <v>10024</v>
      </c>
      <c r="O406" t="s">
        <v>133</v>
      </c>
      <c r="P406" t="s">
        <v>1327</v>
      </c>
      <c r="Q406" t="s">
        <v>40</v>
      </c>
      <c r="R406" t="s">
        <v>71</v>
      </c>
      <c r="S406" t="s">
        <v>1328</v>
      </c>
      <c r="T406">
        <v>35.910000000000004</v>
      </c>
      <c r="U406">
        <v>3</v>
      </c>
      <c r="V406">
        <v>0</v>
      </c>
      <c r="W406">
        <v>9.6956999999999987</v>
      </c>
    </row>
    <row r="407" spans="1:23" x14ac:dyDescent="0.3">
      <c r="A407">
        <v>406</v>
      </c>
      <c r="B407" t="s">
        <v>1329</v>
      </c>
      <c r="C407" s="2">
        <v>43077</v>
      </c>
      <c r="D407" s="2" t="str">
        <f>LEFT(orders[[#This Row],[Ship Date]],FIND("0",F407)-1)</f>
        <v>12</v>
      </c>
      <c r="E407" s="2" t="str">
        <f>RIGHT(orders[[#This Row],[Ship Date]],4)</f>
        <v>2017</v>
      </c>
      <c r="F407" s="4" t="s">
        <v>2171</v>
      </c>
      <c r="G407" t="s">
        <v>44</v>
      </c>
      <c r="H407" t="s">
        <v>1330</v>
      </c>
      <c r="I407" t="s">
        <v>1331</v>
      </c>
      <c r="J407" t="s">
        <v>23</v>
      </c>
      <c r="K407" s="5" t="s">
        <v>1892</v>
      </c>
      <c r="L407" s="5" t="str">
        <f t="shared" si="6"/>
        <v>San Francisco</v>
      </c>
      <c r="M407" t="s">
        <v>37</v>
      </c>
      <c r="N407">
        <v>94110</v>
      </c>
      <c r="O407" t="s">
        <v>38</v>
      </c>
      <c r="P407" t="s">
        <v>1314</v>
      </c>
      <c r="Q407" t="s">
        <v>64</v>
      </c>
      <c r="R407" t="s">
        <v>145</v>
      </c>
      <c r="S407" t="s">
        <v>1315</v>
      </c>
      <c r="T407">
        <v>179.95000000000002</v>
      </c>
      <c r="U407">
        <v>5</v>
      </c>
      <c r="V407">
        <v>0</v>
      </c>
      <c r="W407">
        <v>37.789500000000004</v>
      </c>
    </row>
    <row r="408" spans="1:23" x14ac:dyDescent="0.3">
      <c r="A408">
        <v>407</v>
      </c>
      <c r="B408" t="s">
        <v>1329</v>
      </c>
      <c r="C408" s="2">
        <v>43077</v>
      </c>
      <c r="D408" s="2" t="str">
        <f>LEFT(orders[[#This Row],[Ship Date]],FIND("0",F408)-1)</f>
        <v>12</v>
      </c>
      <c r="E408" s="2" t="str">
        <f>RIGHT(orders[[#This Row],[Ship Date]],4)</f>
        <v>2017</v>
      </c>
      <c r="F408" s="4" t="s">
        <v>2171</v>
      </c>
      <c r="G408" t="s">
        <v>44</v>
      </c>
      <c r="H408" t="s">
        <v>1330</v>
      </c>
      <c r="I408" t="s">
        <v>1331</v>
      </c>
      <c r="J408" t="s">
        <v>23</v>
      </c>
      <c r="K408" s="5" t="s">
        <v>1892</v>
      </c>
      <c r="L408" s="5" t="str">
        <f t="shared" si="6"/>
        <v>San Francisco</v>
      </c>
      <c r="M408" t="s">
        <v>37</v>
      </c>
      <c r="N408">
        <v>94110</v>
      </c>
      <c r="O408" t="s">
        <v>38</v>
      </c>
      <c r="P408" t="s">
        <v>1332</v>
      </c>
      <c r="Q408" t="s">
        <v>64</v>
      </c>
      <c r="R408" t="s">
        <v>1127</v>
      </c>
      <c r="S408" t="s">
        <v>1333</v>
      </c>
      <c r="T408">
        <v>1199.9760000000001</v>
      </c>
      <c r="U408">
        <v>3</v>
      </c>
      <c r="V408">
        <v>0.2</v>
      </c>
      <c r="W408">
        <v>434.99130000000002</v>
      </c>
    </row>
    <row r="409" spans="1:23" x14ac:dyDescent="0.3">
      <c r="A409">
        <v>408</v>
      </c>
      <c r="B409" t="s">
        <v>1329</v>
      </c>
      <c r="C409" s="2">
        <v>43077</v>
      </c>
      <c r="D409" s="2" t="str">
        <f>LEFT(orders[[#This Row],[Ship Date]],FIND("0",F409)-1)</f>
        <v>12</v>
      </c>
      <c r="E409" s="2" t="str">
        <f>RIGHT(orders[[#This Row],[Ship Date]],4)</f>
        <v>2017</v>
      </c>
      <c r="F409" s="4" t="s">
        <v>2171</v>
      </c>
      <c r="G409" t="s">
        <v>44</v>
      </c>
      <c r="H409" t="s">
        <v>1330</v>
      </c>
      <c r="I409" t="s">
        <v>1331</v>
      </c>
      <c r="J409" t="s">
        <v>23</v>
      </c>
      <c r="K409" s="5" t="s">
        <v>1892</v>
      </c>
      <c r="L409" s="5" t="str">
        <f t="shared" si="6"/>
        <v>San Francisco</v>
      </c>
      <c r="M409" t="s">
        <v>37</v>
      </c>
      <c r="N409">
        <v>94110</v>
      </c>
      <c r="O409" t="s">
        <v>38</v>
      </c>
      <c r="P409" t="s">
        <v>1334</v>
      </c>
      <c r="Q409" t="s">
        <v>40</v>
      </c>
      <c r="R409" t="s">
        <v>82</v>
      </c>
      <c r="S409" t="s">
        <v>1335</v>
      </c>
      <c r="T409">
        <v>27.15</v>
      </c>
      <c r="U409">
        <v>5</v>
      </c>
      <c r="V409">
        <v>0</v>
      </c>
      <c r="W409">
        <v>13.3035</v>
      </c>
    </row>
    <row r="410" spans="1:23" x14ac:dyDescent="0.3">
      <c r="A410">
        <v>409</v>
      </c>
      <c r="B410" t="s">
        <v>1329</v>
      </c>
      <c r="C410" s="2">
        <v>43077</v>
      </c>
      <c r="D410" s="2" t="str">
        <f>LEFT(orders[[#This Row],[Ship Date]],FIND("0",F410)-1)</f>
        <v>12</v>
      </c>
      <c r="E410" s="2" t="str">
        <f>RIGHT(orders[[#This Row],[Ship Date]],4)</f>
        <v>2017</v>
      </c>
      <c r="F410" s="4" t="s">
        <v>2171</v>
      </c>
      <c r="G410" t="s">
        <v>44</v>
      </c>
      <c r="H410" t="s">
        <v>1330</v>
      </c>
      <c r="I410" t="s">
        <v>1331</v>
      </c>
      <c r="J410" t="s">
        <v>23</v>
      </c>
      <c r="K410" s="5" t="s">
        <v>1892</v>
      </c>
      <c r="L410" s="5" t="str">
        <f t="shared" si="6"/>
        <v>San Francisco</v>
      </c>
      <c r="M410" t="s">
        <v>37</v>
      </c>
      <c r="N410">
        <v>94110</v>
      </c>
      <c r="O410" t="s">
        <v>38</v>
      </c>
      <c r="P410" t="s">
        <v>1336</v>
      </c>
      <c r="Q410" t="s">
        <v>27</v>
      </c>
      <c r="R410" t="s">
        <v>49</v>
      </c>
      <c r="S410" t="s">
        <v>1337</v>
      </c>
      <c r="T410">
        <v>1004.0239999999999</v>
      </c>
      <c r="U410">
        <v>7</v>
      </c>
      <c r="V410">
        <v>0.2</v>
      </c>
      <c r="W410">
        <v>-112.95269999999994</v>
      </c>
    </row>
    <row r="411" spans="1:23" x14ac:dyDescent="0.3">
      <c r="A411">
        <v>410</v>
      </c>
      <c r="B411" t="s">
        <v>1329</v>
      </c>
      <c r="C411" s="2">
        <v>43077</v>
      </c>
      <c r="D411" s="2" t="str">
        <f>LEFT(orders[[#This Row],[Ship Date]],FIND("0",F411)-1)</f>
        <v>12</v>
      </c>
      <c r="E411" s="2" t="str">
        <f>RIGHT(orders[[#This Row],[Ship Date]],4)</f>
        <v>2017</v>
      </c>
      <c r="F411" s="4" t="s">
        <v>2171</v>
      </c>
      <c r="G411" t="s">
        <v>44</v>
      </c>
      <c r="H411" t="s">
        <v>1330</v>
      </c>
      <c r="I411" t="s">
        <v>1331</v>
      </c>
      <c r="J411" t="s">
        <v>23</v>
      </c>
      <c r="K411" s="5" t="s">
        <v>1892</v>
      </c>
      <c r="L411" s="5" t="str">
        <f t="shared" si="6"/>
        <v>San Francisco</v>
      </c>
      <c r="M411" t="s">
        <v>37</v>
      </c>
      <c r="N411">
        <v>94110</v>
      </c>
      <c r="O411" t="s">
        <v>38</v>
      </c>
      <c r="P411" t="s">
        <v>1338</v>
      </c>
      <c r="Q411" t="s">
        <v>40</v>
      </c>
      <c r="R411" t="s">
        <v>82</v>
      </c>
      <c r="S411" t="s">
        <v>1339</v>
      </c>
      <c r="T411">
        <v>9.68</v>
      </c>
      <c r="U411">
        <v>1</v>
      </c>
      <c r="V411">
        <v>0</v>
      </c>
      <c r="W411">
        <v>4.6463999999999999</v>
      </c>
    </row>
    <row r="412" spans="1:23" x14ac:dyDescent="0.3">
      <c r="A412">
        <v>411</v>
      </c>
      <c r="B412" t="s">
        <v>1329</v>
      </c>
      <c r="C412" s="2">
        <v>43077</v>
      </c>
      <c r="D412" s="2" t="str">
        <f>LEFT(orders[[#This Row],[Ship Date]],FIND("0",F412)-1)</f>
        <v>12</v>
      </c>
      <c r="E412" s="2" t="str">
        <f>RIGHT(orders[[#This Row],[Ship Date]],4)</f>
        <v>2017</v>
      </c>
      <c r="F412" s="4" t="s">
        <v>2171</v>
      </c>
      <c r="G412" t="s">
        <v>44</v>
      </c>
      <c r="H412" t="s">
        <v>1330</v>
      </c>
      <c r="I412" t="s">
        <v>1331</v>
      </c>
      <c r="J412" t="s">
        <v>23</v>
      </c>
      <c r="K412" s="5" t="s">
        <v>1892</v>
      </c>
      <c r="L412" s="5" t="str">
        <f t="shared" si="6"/>
        <v>San Francisco</v>
      </c>
      <c r="M412" t="s">
        <v>37</v>
      </c>
      <c r="N412">
        <v>94110</v>
      </c>
      <c r="O412" t="s">
        <v>38</v>
      </c>
      <c r="P412" t="s">
        <v>1340</v>
      </c>
      <c r="Q412" t="s">
        <v>40</v>
      </c>
      <c r="R412" t="s">
        <v>41</v>
      </c>
      <c r="S412" t="s">
        <v>1341</v>
      </c>
      <c r="T412">
        <v>28.349999999999998</v>
      </c>
      <c r="U412">
        <v>9</v>
      </c>
      <c r="V412">
        <v>0</v>
      </c>
      <c r="W412">
        <v>13.608000000000001</v>
      </c>
    </row>
    <row r="413" spans="1:23" x14ac:dyDescent="0.3">
      <c r="A413">
        <v>412</v>
      </c>
      <c r="B413" t="s">
        <v>1329</v>
      </c>
      <c r="C413" s="2">
        <v>43077</v>
      </c>
      <c r="D413" s="2" t="str">
        <f>LEFT(orders[[#This Row],[Ship Date]],FIND("0",F413)-1)</f>
        <v>12</v>
      </c>
      <c r="E413" s="2" t="str">
        <f>RIGHT(orders[[#This Row],[Ship Date]],4)</f>
        <v>2017</v>
      </c>
      <c r="F413" s="4" t="s">
        <v>2171</v>
      </c>
      <c r="G413" t="s">
        <v>44</v>
      </c>
      <c r="H413" t="s">
        <v>1330</v>
      </c>
      <c r="I413" t="s">
        <v>1331</v>
      </c>
      <c r="J413" t="s">
        <v>23</v>
      </c>
      <c r="K413" s="5" t="s">
        <v>1892</v>
      </c>
      <c r="L413" s="5" t="str">
        <f t="shared" si="6"/>
        <v>San Francisco</v>
      </c>
      <c r="M413" t="s">
        <v>37</v>
      </c>
      <c r="N413">
        <v>94110</v>
      </c>
      <c r="O413" t="s">
        <v>38</v>
      </c>
      <c r="P413" t="s">
        <v>1159</v>
      </c>
      <c r="Q413" t="s">
        <v>40</v>
      </c>
      <c r="R413" t="s">
        <v>82</v>
      </c>
      <c r="S413" t="s">
        <v>1342</v>
      </c>
      <c r="T413">
        <v>55.98</v>
      </c>
      <c r="U413">
        <v>1</v>
      </c>
      <c r="V413">
        <v>0</v>
      </c>
      <c r="W413">
        <v>27.430199999999999</v>
      </c>
    </row>
    <row r="414" spans="1:23" x14ac:dyDescent="0.3">
      <c r="A414">
        <v>413</v>
      </c>
      <c r="B414" t="s">
        <v>1329</v>
      </c>
      <c r="C414" s="2">
        <v>43077</v>
      </c>
      <c r="D414" s="2" t="str">
        <f>LEFT(orders[[#This Row],[Ship Date]],FIND("0",F414)-1)</f>
        <v>12</v>
      </c>
      <c r="E414" s="2" t="str">
        <f>RIGHT(orders[[#This Row],[Ship Date]],4)</f>
        <v>2017</v>
      </c>
      <c r="F414" s="4" t="s">
        <v>2171</v>
      </c>
      <c r="G414" t="s">
        <v>44</v>
      </c>
      <c r="H414" t="s">
        <v>1330</v>
      </c>
      <c r="I414" t="s">
        <v>1331</v>
      </c>
      <c r="J414" t="s">
        <v>23</v>
      </c>
      <c r="K414" s="5" t="s">
        <v>1892</v>
      </c>
      <c r="L414" s="5" t="str">
        <f t="shared" si="6"/>
        <v>San Francisco</v>
      </c>
      <c r="M414" t="s">
        <v>37</v>
      </c>
      <c r="N414">
        <v>94110</v>
      </c>
      <c r="O414" t="s">
        <v>38</v>
      </c>
      <c r="P414" t="s">
        <v>1343</v>
      </c>
      <c r="Q414" t="s">
        <v>27</v>
      </c>
      <c r="R414" t="s">
        <v>28</v>
      </c>
      <c r="S414" t="s">
        <v>1344</v>
      </c>
      <c r="T414">
        <v>1336.829</v>
      </c>
      <c r="U414">
        <v>13</v>
      </c>
      <c r="V414">
        <v>0.15</v>
      </c>
      <c r="W414">
        <v>31.454799999999949</v>
      </c>
    </row>
    <row r="415" spans="1:23" x14ac:dyDescent="0.3">
      <c r="A415">
        <v>414</v>
      </c>
      <c r="B415" t="s">
        <v>1329</v>
      </c>
      <c r="C415" s="2">
        <v>43077</v>
      </c>
      <c r="D415" s="2" t="str">
        <f>LEFT(orders[[#This Row],[Ship Date]],FIND("0",F415)-1)</f>
        <v>12</v>
      </c>
      <c r="E415" s="2" t="str">
        <f>RIGHT(orders[[#This Row],[Ship Date]],4)</f>
        <v>2017</v>
      </c>
      <c r="F415" s="4" t="s">
        <v>2171</v>
      </c>
      <c r="G415" t="s">
        <v>44</v>
      </c>
      <c r="H415" t="s">
        <v>1330</v>
      </c>
      <c r="I415" t="s">
        <v>1331</v>
      </c>
      <c r="J415" t="s">
        <v>23</v>
      </c>
      <c r="K415" s="5" t="s">
        <v>1892</v>
      </c>
      <c r="L415" s="5" t="str">
        <f t="shared" si="6"/>
        <v>San Francisco</v>
      </c>
      <c r="M415" t="s">
        <v>37</v>
      </c>
      <c r="N415">
        <v>94110</v>
      </c>
      <c r="O415" t="s">
        <v>38</v>
      </c>
      <c r="P415" t="s">
        <v>1345</v>
      </c>
      <c r="Q415" t="s">
        <v>27</v>
      </c>
      <c r="R415" t="s">
        <v>31</v>
      </c>
      <c r="S415" t="s">
        <v>1346</v>
      </c>
      <c r="T415">
        <v>113.56800000000001</v>
      </c>
      <c r="U415">
        <v>2</v>
      </c>
      <c r="V415">
        <v>0.2</v>
      </c>
      <c r="W415">
        <v>-18.454800000000013</v>
      </c>
    </row>
    <row r="416" spans="1:23" x14ac:dyDescent="0.3">
      <c r="A416">
        <v>415</v>
      </c>
      <c r="B416" t="s">
        <v>1347</v>
      </c>
      <c r="C416" s="2">
        <v>43042</v>
      </c>
      <c r="D416" s="2" t="str">
        <f>LEFT(orders[[#This Row],[Ship Date]],FIND("0",F416)-1)</f>
        <v>11</v>
      </c>
      <c r="E416" s="2" t="str">
        <f>RIGHT(orders[[#This Row],[Ship Date]],4)</f>
        <v>2017</v>
      </c>
      <c r="F416" s="4" t="s">
        <v>2172</v>
      </c>
      <c r="G416" t="s">
        <v>44</v>
      </c>
      <c r="H416" t="s">
        <v>1348</v>
      </c>
      <c r="I416" t="s">
        <v>1349</v>
      </c>
      <c r="J416" t="s">
        <v>36</v>
      </c>
      <c r="K416" s="5" t="s">
        <v>1888</v>
      </c>
      <c r="L416" s="5" t="str">
        <f t="shared" si="6"/>
        <v>Seattle</v>
      </c>
      <c r="M416" t="s">
        <v>87</v>
      </c>
      <c r="N416">
        <v>98105</v>
      </c>
      <c r="O416" t="s">
        <v>38</v>
      </c>
      <c r="P416" t="s">
        <v>1350</v>
      </c>
      <c r="Q416" t="s">
        <v>40</v>
      </c>
      <c r="R416" t="s">
        <v>82</v>
      </c>
      <c r="S416" t="s">
        <v>1351</v>
      </c>
      <c r="T416">
        <v>139.86000000000001</v>
      </c>
      <c r="U416">
        <v>7</v>
      </c>
      <c r="V416">
        <v>0</v>
      </c>
      <c r="W416">
        <v>65.734199999999987</v>
      </c>
    </row>
    <row r="417" spans="1:23" x14ac:dyDescent="0.3">
      <c r="A417">
        <v>416</v>
      </c>
      <c r="B417" t="s">
        <v>1347</v>
      </c>
      <c r="C417" s="2">
        <v>43042</v>
      </c>
      <c r="D417" s="2" t="str">
        <f>LEFT(orders[[#This Row],[Ship Date]],FIND("0",F417)-1)</f>
        <v>11</v>
      </c>
      <c r="E417" s="2" t="str">
        <f>RIGHT(orders[[#This Row],[Ship Date]],4)</f>
        <v>2017</v>
      </c>
      <c r="F417" s="4" t="s">
        <v>2172</v>
      </c>
      <c r="G417" t="s">
        <v>44</v>
      </c>
      <c r="H417" t="s">
        <v>1348</v>
      </c>
      <c r="I417" t="s">
        <v>1349</v>
      </c>
      <c r="J417" t="s">
        <v>36</v>
      </c>
      <c r="K417" s="5" t="s">
        <v>1888</v>
      </c>
      <c r="L417" s="5" t="str">
        <f t="shared" si="6"/>
        <v>Seattle</v>
      </c>
      <c r="M417" t="s">
        <v>87</v>
      </c>
      <c r="N417">
        <v>98105</v>
      </c>
      <c r="O417" t="s">
        <v>38</v>
      </c>
      <c r="P417" t="s">
        <v>1005</v>
      </c>
      <c r="Q417" t="s">
        <v>27</v>
      </c>
      <c r="R417" t="s">
        <v>31</v>
      </c>
      <c r="S417" t="s">
        <v>1006</v>
      </c>
      <c r="T417">
        <v>307.13600000000002</v>
      </c>
      <c r="U417">
        <v>4</v>
      </c>
      <c r="V417">
        <v>0.2</v>
      </c>
      <c r="W417">
        <v>26.874400000000023</v>
      </c>
    </row>
    <row r="418" spans="1:23" x14ac:dyDescent="0.3">
      <c r="A418">
        <v>417</v>
      </c>
      <c r="B418" t="s">
        <v>1352</v>
      </c>
      <c r="C418" s="2">
        <v>42910</v>
      </c>
      <c r="D418" s="2" t="str">
        <f>LEFT(orders[[#This Row],[Ship Date]],FIND("0",F418)-1)</f>
        <v>6</v>
      </c>
      <c r="E418" s="2" t="str">
        <f>RIGHT(orders[[#This Row],[Ship Date]],4)</f>
        <v>2017</v>
      </c>
      <c r="F418" s="4" t="s">
        <v>2173</v>
      </c>
      <c r="G418" t="s">
        <v>44</v>
      </c>
      <c r="H418" t="s">
        <v>1353</v>
      </c>
      <c r="I418" t="s">
        <v>1354</v>
      </c>
      <c r="J418" t="s">
        <v>23</v>
      </c>
      <c r="K418" s="5" t="s">
        <v>1985</v>
      </c>
      <c r="L418" s="5" t="str">
        <f t="shared" si="6"/>
        <v>Huntington Beach</v>
      </c>
      <c r="M418" t="s">
        <v>37</v>
      </c>
      <c r="N418">
        <v>92646</v>
      </c>
      <c r="O418" t="s">
        <v>38</v>
      </c>
      <c r="P418" t="s">
        <v>1355</v>
      </c>
      <c r="Q418" t="s">
        <v>40</v>
      </c>
      <c r="R418" t="s">
        <v>61</v>
      </c>
      <c r="S418" t="s">
        <v>1356</v>
      </c>
      <c r="T418">
        <v>95.92</v>
      </c>
      <c r="U418">
        <v>8</v>
      </c>
      <c r="V418">
        <v>0</v>
      </c>
      <c r="W418">
        <v>25.898399999999995</v>
      </c>
    </row>
    <row r="419" spans="1:23" x14ac:dyDescent="0.3">
      <c r="A419">
        <v>418</v>
      </c>
      <c r="B419" t="s">
        <v>1357</v>
      </c>
      <c r="C419" s="2">
        <v>42474</v>
      </c>
      <c r="D419" s="2" t="str">
        <f>LEFT(orders[[#This Row],[Ship Date]],FIND("0",F419)-1)</f>
        <v>4</v>
      </c>
      <c r="E419" s="2" t="str">
        <f>RIGHT(orders[[#This Row],[Ship Date]],4)</f>
        <v>2016</v>
      </c>
      <c r="F419" s="4" t="s">
        <v>2174</v>
      </c>
      <c r="G419" t="s">
        <v>44</v>
      </c>
      <c r="H419" t="s">
        <v>1358</v>
      </c>
      <c r="I419" t="s">
        <v>1359</v>
      </c>
      <c r="J419" t="s">
        <v>23</v>
      </c>
      <c r="K419" s="5" t="s">
        <v>1885</v>
      </c>
      <c r="L419" s="5" t="str">
        <f t="shared" si="6"/>
        <v>Los Angeles</v>
      </c>
      <c r="M419" t="s">
        <v>37</v>
      </c>
      <c r="N419">
        <v>90004</v>
      </c>
      <c r="O419" t="s">
        <v>38</v>
      </c>
      <c r="P419" t="s">
        <v>1360</v>
      </c>
      <c r="Q419" t="s">
        <v>27</v>
      </c>
      <c r="R419" t="s">
        <v>31</v>
      </c>
      <c r="S419" t="s">
        <v>1361</v>
      </c>
      <c r="T419">
        <v>383.8</v>
      </c>
      <c r="U419">
        <v>5</v>
      </c>
      <c r="V419">
        <v>0.2</v>
      </c>
      <c r="W419">
        <v>38.379999999999981</v>
      </c>
    </row>
    <row r="420" spans="1:23" x14ac:dyDescent="0.3">
      <c r="A420">
        <v>419</v>
      </c>
      <c r="B420" t="s">
        <v>1362</v>
      </c>
      <c r="C420" s="2">
        <v>43045</v>
      </c>
      <c r="D420" s="2" t="str">
        <f>LEFT(orders[[#This Row],[Ship Date]],FIND("0",F420)-1)</f>
        <v>11</v>
      </c>
      <c r="E420" s="2" t="str">
        <f>RIGHT(orders[[#This Row],[Ship Date]],4)</f>
        <v>2017</v>
      </c>
      <c r="F420" s="4" t="s">
        <v>2175</v>
      </c>
      <c r="G420" t="s">
        <v>44</v>
      </c>
      <c r="H420" t="s">
        <v>1178</v>
      </c>
      <c r="I420" t="s">
        <v>1179</v>
      </c>
      <c r="J420" t="s">
        <v>36</v>
      </c>
      <c r="K420" s="5" t="s">
        <v>1986</v>
      </c>
      <c r="L420" s="5" t="str">
        <f t="shared" si="6"/>
        <v>Richmond</v>
      </c>
      <c r="M420" t="s">
        <v>24</v>
      </c>
      <c r="N420">
        <v>40475</v>
      </c>
      <c r="O420" t="s">
        <v>25</v>
      </c>
      <c r="P420" t="s">
        <v>1363</v>
      </c>
      <c r="Q420" t="s">
        <v>40</v>
      </c>
      <c r="R420" t="s">
        <v>82</v>
      </c>
      <c r="S420" t="s">
        <v>1364</v>
      </c>
      <c r="T420">
        <v>5.78</v>
      </c>
      <c r="U420">
        <v>1</v>
      </c>
      <c r="V420">
        <v>0</v>
      </c>
      <c r="W420">
        <v>2.8322000000000003</v>
      </c>
    </row>
    <row r="421" spans="1:23" x14ac:dyDescent="0.3">
      <c r="A421">
        <v>420</v>
      </c>
      <c r="B421" t="s">
        <v>1365</v>
      </c>
      <c r="C421" s="2">
        <v>42798</v>
      </c>
      <c r="D421" s="2" t="str">
        <f>LEFT(orders[[#This Row],[Ship Date]],FIND("0",F421)-1)</f>
        <v>3</v>
      </c>
      <c r="E421" s="2" t="str">
        <f>RIGHT(orders[[#This Row],[Ship Date]],4)</f>
        <v>2017</v>
      </c>
      <c r="F421" s="4" t="s">
        <v>2176</v>
      </c>
      <c r="G421" t="s">
        <v>44</v>
      </c>
      <c r="H421" t="s">
        <v>1071</v>
      </c>
      <c r="I421" t="s">
        <v>1072</v>
      </c>
      <c r="J421" t="s">
        <v>36</v>
      </c>
      <c r="K421" s="5" t="s">
        <v>1885</v>
      </c>
      <c r="L421" s="5" t="str">
        <f t="shared" si="6"/>
        <v>Los Angeles</v>
      </c>
      <c r="M421" t="s">
        <v>37</v>
      </c>
      <c r="N421">
        <v>90045</v>
      </c>
      <c r="O421" t="s">
        <v>38</v>
      </c>
      <c r="P421" t="s">
        <v>1366</v>
      </c>
      <c r="Q421" t="s">
        <v>40</v>
      </c>
      <c r="R421" t="s">
        <v>61</v>
      </c>
      <c r="S421" t="s">
        <v>1367</v>
      </c>
      <c r="T421">
        <v>9.32</v>
      </c>
      <c r="U421">
        <v>4</v>
      </c>
      <c r="V421">
        <v>0</v>
      </c>
      <c r="W421">
        <v>2.702799999999999</v>
      </c>
    </row>
    <row r="422" spans="1:23" x14ac:dyDescent="0.3">
      <c r="A422">
        <v>421</v>
      </c>
      <c r="B422" t="s">
        <v>1365</v>
      </c>
      <c r="C422" s="2">
        <v>42798</v>
      </c>
      <c r="D422" s="2" t="str">
        <f>LEFT(orders[[#This Row],[Ship Date]],FIND("0",F422)-1)</f>
        <v>3</v>
      </c>
      <c r="E422" s="2" t="str">
        <f>RIGHT(orders[[#This Row],[Ship Date]],4)</f>
        <v>2017</v>
      </c>
      <c r="F422" s="4" t="s">
        <v>2176</v>
      </c>
      <c r="G422" t="s">
        <v>44</v>
      </c>
      <c r="H422" t="s">
        <v>1071</v>
      </c>
      <c r="I422" t="s">
        <v>1072</v>
      </c>
      <c r="J422" t="s">
        <v>36</v>
      </c>
      <c r="K422" s="5" t="s">
        <v>1885</v>
      </c>
      <c r="L422" s="5" t="str">
        <f t="shared" si="6"/>
        <v>Los Angeles</v>
      </c>
      <c r="M422" t="s">
        <v>37</v>
      </c>
      <c r="N422">
        <v>90045</v>
      </c>
      <c r="O422" t="s">
        <v>38</v>
      </c>
      <c r="P422" t="s">
        <v>1368</v>
      </c>
      <c r="Q422" t="s">
        <v>40</v>
      </c>
      <c r="R422" t="s">
        <v>157</v>
      </c>
      <c r="S422" t="s">
        <v>1369</v>
      </c>
      <c r="T422">
        <v>15.25</v>
      </c>
      <c r="U422">
        <v>1</v>
      </c>
      <c r="V422">
        <v>0</v>
      </c>
      <c r="W422">
        <v>7.0149999999999988</v>
      </c>
    </row>
    <row r="423" spans="1:23" x14ac:dyDescent="0.3">
      <c r="A423">
        <v>422</v>
      </c>
      <c r="B423" t="s">
        <v>1370</v>
      </c>
      <c r="C423" s="2">
        <v>41812</v>
      </c>
      <c r="D423" s="2" t="str">
        <f>LEFT(orders[[#This Row],[Ship Date]],FIND("0",F423)-1)</f>
        <v>6</v>
      </c>
      <c r="E423" s="2" t="str">
        <f>RIGHT(orders[[#This Row],[Ship Date]],4)</f>
        <v>2014</v>
      </c>
      <c r="F423" s="4" t="s">
        <v>2177</v>
      </c>
      <c r="G423" t="s">
        <v>171</v>
      </c>
      <c r="H423" t="s">
        <v>302</v>
      </c>
      <c r="I423" t="s">
        <v>303</v>
      </c>
      <c r="J423" t="s">
        <v>23</v>
      </c>
      <c r="K423" s="5" t="s">
        <v>1987</v>
      </c>
      <c r="L423" s="5" t="str">
        <f t="shared" si="6"/>
        <v>Louisville</v>
      </c>
      <c r="M423" t="s">
        <v>418</v>
      </c>
      <c r="N423">
        <v>80027</v>
      </c>
      <c r="O423" t="s">
        <v>38</v>
      </c>
      <c r="P423" t="s">
        <v>1371</v>
      </c>
      <c r="Q423" t="s">
        <v>64</v>
      </c>
      <c r="R423" t="s">
        <v>145</v>
      </c>
      <c r="S423" t="s">
        <v>1372</v>
      </c>
      <c r="T423">
        <v>196.75200000000001</v>
      </c>
      <c r="U423">
        <v>6</v>
      </c>
      <c r="V423">
        <v>0.2</v>
      </c>
      <c r="W423">
        <v>56.566200000000009</v>
      </c>
    </row>
    <row r="424" spans="1:23" x14ac:dyDescent="0.3">
      <c r="A424">
        <v>423</v>
      </c>
      <c r="B424" t="s">
        <v>1373</v>
      </c>
      <c r="C424" s="2">
        <v>43027</v>
      </c>
      <c r="D424" s="2" t="str">
        <f>LEFT(orders[[#This Row],[Ship Date]],FIND("0",F424)-1)</f>
        <v>1</v>
      </c>
      <c r="E424" s="2" t="str">
        <f>RIGHT(orders[[#This Row],[Ship Date]],4)</f>
        <v>2017</v>
      </c>
      <c r="F424" s="4" t="s">
        <v>2017</v>
      </c>
      <c r="G424" t="s">
        <v>44</v>
      </c>
      <c r="H424" t="s">
        <v>1374</v>
      </c>
      <c r="I424" t="s">
        <v>1375</v>
      </c>
      <c r="J424" t="s">
        <v>36</v>
      </c>
      <c r="K424" s="5" t="s">
        <v>1988</v>
      </c>
      <c r="L424" s="5" t="str">
        <f t="shared" si="6"/>
        <v>Lawrence</v>
      </c>
      <c r="M424" t="s">
        <v>1153</v>
      </c>
      <c r="N424">
        <v>1841</v>
      </c>
      <c r="O424" t="s">
        <v>133</v>
      </c>
      <c r="P424" t="s">
        <v>1376</v>
      </c>
      <c r="Q424" t="s">
        <v>27</v>
      </c>
      <c r="R424" t="s">
        <v>58</v>
      </c>
      <c r="S424" t="s">
        <v>1377</v>
      </c>
      <c r="T424">
        <v>56.56</v>
      </c>
      <c r="U424">
        <v>4</v>
      </c>
      <c r="V424">
        <v>0</v>
      </c>
      <c r="W424">
        <v>14.705600000000004</v>
      </c>
    </row>
    <row r="425" spans="1:23" x14ac:dyDescent="0.3">
      <c r="A425">
        <v>424</v>
      </c>
      <c r="B425" t="s">
        <v>1373</v>
      </c>
      <c r="C425" s="2">
        <v>43027</v>
      </c>
      <c r="D425" s="2" t="str">
        <f>LEFT(orders[[#This Row],[Ship Date]],FIND("0",F425)-1)</f>
        <v>1</v>
      </c>
      <c r="E425" s="2" t="str">
        <f>RIGHT(orders[[#This Row],[Ship Date]],4)</f>
        <v>2017</v>
      </c>
      <c r="F425" s="4" t="s">
        <v>2017</v>
      </c>
      <c r="G425" t="s">
        <v>44</v>
      </c>
      <c r="H425" t="s">
        <v>1374</v>
      </c>
      <c r="I425" t="s">
        <v>1375</v>
      </c>
      <c r="J425" t="s">
        <v>36</v>
      </c>
      <c r="K425" s="5" t="s">
        <v>1988</v>
      </c>
      <c r="L425" s="5" t="str">
        <f t="shared" si="6"/>
        <v>Lawrence</v>
      </c>
      <c r="M425" t="s">
        <v>1153</v>
      </c>
      <c r="N425">
        <v>1841</v>
      </c>
      <c r="O425" t="s">
        <v>133</v>
      </c>
      <c r="P425" t="s">
        <v>1378</v>
      </c>
      <c r="Q425" t="s">
        <v>40</v>
      </c>
      <c r="R425" t="s">
        <v>52</v>
      </c>
      <c r="S425" t="s">
        <v>1379</v>
      </c>
      <c r="T425">
        <v>32.700000000000003</v>
      </c>
      <c r="U425">
        <v>3</v>
      </c>
      <c r="V425">
        <v>0</v>
      </c>
      <c r="W425">
        <v>8.5019999999999989</v>
      </c>
    </row>
    <row r="426" spans="1:23" x14ac:dyDescent="0.3">
      <c r="A426">
        <v>425</v>
      </c>
      <c r="B426" t="s">
        <v>1380</v>
      </c>
      <c r="C426" s="2">
        <v>42968</v>
      </c>
      <c r="D426" s="2" t="str">
        <f>LEFT(orders[[#This Row],[Ship Date]],FIND("0",F426)-1)</f>
        <v>8</v>
      </c>
      <c r="E426" s="2" t="str">
        <f>RIGHT(orders[[#This Row],[Ship Date]],4)</f>
        <v>2017</v>
      </c>
      <c r="F426" s="4" t="s">
        <v>2178</v>
      </c>
      <c r="G426" t="s">
        <v>20</v>
      </c>
      <c r="H426" t="s">
        <v>1381</v>
      </c>
      <c r="I426" t="s">
        <v>1382</v>
      </c>
      <c r="J426" t="s">
        <v>23</v>
      </c>
      <c r="K426" s="5" t="s">
        <v>1909</v>
      </c>
      <c r="L426" s="5" t="str">
        <f t="shared" si="6"/>
        <v>Jackson</v>
      </c>
      <c r="M426" t="s">
        <v>1383</v>
      </c>
      <c r="N426">
        <v>39212</v>
      </c>
      <c r="O426" t="s">
        <v>25</v>
      </c>
      <c r="P426" t="s">
        <v>1384</v>
      </c>
      <c r="Q426" t="s">
        <v>27</v>
      </c>
      <c r="R426" t="s">
        <v>31</v>
      </c>
      <c r="S426" t="s">
        <v>1385</v>
      </c>
      <c r="T426">
        <v>866.4</v>
      </c>
      <c r="U426">
        <v>4</v>
      </c>
      <c r="V426">
        <v>0</v>
      </c>
      <c r="W426">
        <v>225.26400000000001</v>
      </c>
    </row>
    <row r="427" spans="1:23" x14ac:dyDescent="0.3">
      <c r="A427">
        <v>426</v>
      </c>
      <c r="B427" t="s">
        <v>1386</v>
      </c>
      <c r="C427" s="2">
        <v>43062</v>
      </c>
      <c r="D427" s="2" t="str">
        <f>LEFT(orders[[#This Row],[Ship Date]],FIND("0",F427)-1)</f>
        <v>11</v>
      </c>
      <c r="E427" s="2" t="str">
        <f>RIGHT(orders[[#This Row],[Ship Date]],4)</f>
        <v>2017</v>
      </c>
      <c r="F427" s="4" t="s">
        <v>2179</v>
      </c>
      <c r="G427" t="s">
        <v>20</v>
      </c>
      <c r="H427" t="s">
        <v>240</v>
      </c>
      <c r="I427" t="s">
        <v>241</v>
      </c>
      <c r="J427" t="s">
        <v>36</v>
      </c>
      <c r="K427" s="5" t="s">
        <v>1989</v>
      </c>
      <c r="L427" s="5" t="str">
        <f t="shared" si="6"/>
        <v>Canton</v>
      </c>
      <c r="M427" t="s">
        <v>216</v>
      </c>
      <c r="N427">
        <v>48187</v>
      </c>
      <c r="O427" t="s">
        <v>95</v>
      </c>
      <c r="P427" t="s">
        <v>1387</v>
      </c>
      <c r="Q427" t="s">
        <v>27</v>
      </c>
      <c r="R427" t="s">
        <v>58</v>
      </c>
      <c r="S427" t="s">
        <v>1388</v>
      </c>
      <c r="T427">
        <v>28.4</v>
      </c>
      <c r="U427">
        <v>2</v>
      </c>
      <c r="V427">
        <v>0</v>
      </c>
      <c r="W427">
        <v>11.076000000000001</v>
      </c>
    </row>
    <row r="428" spans="1:23" x14ac:dyDescent="0.3">
      <c r="A428">
        <v>427</v>
      </c>
      <c r="B428" t="s">
        <v>1386</v>
      </c>
      <c r="C428" s="2">
        <v>43062</v>
      </c>
      <c r="D428" s="2" t="str">
        <f>LEFT(orders[[#This Row],[Ship Date]],FIND("0",F428)-1)</f>
        <v>11</v>
      </c>
      <c r="E428" s="2" t="str">
        <f>RIGHT(orders[[#This Row],[Ship Date]],4)</f>
        <v>2017</v>
      </c>
      <c r="F428" s="4" t="s">
        <v>2179</v>
      </c>
      <c r="G428" t="s">
        <v>20</v>
      </c>
      <c r="H428" t="s">
        <v>240</v>
      </c>
      <c r="I428" t="s">
        <v>241</v>
      </c>
      <c r="J428" t="s">
        <v>36</v>
      </c>
      <c r="K428" s="5" t="s">
        <v>1989</v>
      </c>
      <c r="L428" s="5" t="str">
        <f t="shared" si="6"/>
        <v>Canton</v>
      </c>
      <c r="M428" t="s">
        <v>216</v>
      </c>
      <c r="N428">
        <v>48187</v>
      </c>
      <c r="O428" t="s">
        <v>95</v>
      </c>
      <c r="P428" t="s">
        <v>1389</v>
      </c>
      <c r="Q428" t="s">
        <v>40</v>
      </c>
      <c r="R428" t="s">
        <v>68</v>
      </c>
      <c r="S428" t="s">
        <v>1390</v>
      </c>
      <c r="T428">
        <v>287.92</v>
      </c>
      <c r="U428">
        <v>8</v>
      </c>
      <c r="V428">
        <v>0</v>
      </c>
      <c r="W428">
        <v>138.20160000000001</v>
      </c>
    </row>
    <row r="429" spans="1:23" x14ac:dyDescent="0.3">
      <c r="A429">
        <v>428</v>
      </c>
      <c r="B429" t="s">
        <v>1391</v>
      </c>
      <c r="C429" s="2">
        <v>41894</v>
      </c>
      <c r="D429" s="2" t="str">
        <f>LEFT(orders[[#This Row],[Ship Date]],FIND("0",F429)-1)</f>
        <v>9</v>
      </c>
      <c r="E429" s="2" t="str">
        <f>RIGHT(orders[[#This Row],[Ship Date]],4)</f>
        <v>2014</v>
      </c>
      <c r="F429" s="4" t="s">
        <v>2180</v>
      </c>
      <c r="G429" t="s">
        <v>171</v>
      </c>
      <c r="H429" t="s">
        <v>1392</v>
      </c>
      <c r="I429" t="s">
        <v>1393</v>
      </c>
      <c r="J429" t="s">
        <v>93</v>
      </c>
      <c r="K429" s="5" t="s">
        <v>1990</v>
      </c>
      <c r="L429" s="5" t="str">
        <f t="shared" si="6"/>
        <v>New Rochelle</v>
      </c>
      <c r="M429" t="s">
        <v>242</v>
      </c>
      <c r="N429">
        <v>10801</v>
      </c>
      <c r="O429" t="s">
        <v>133</v>
      </c>
      <c r="P429" t="s">
        <v>1394</v>
      </c>
      <c r="Q429" t="s">
        <v>64</v>
      </c>
      <c r="R429" t="s">
        <v>627</v>
      </c>
      <c r="S429" t="s">
        <v>1395</v>
      </c>
      <c r="T429">
        <v>69.989999999999995</v>
      </c>
      <c r="U429">
        <v>1</v>
      </c>
      <c r="V429">
        <v>0</v>
      </c>
      <c r="W429">
        <v>30.095700000000001</v>
      </c>
    </row>
    <row r="430" spans="1:23" x14ac:dyDescent="0.3">
      <c r="A430">
        <v>429</v>
      </c>
      <c r="B430" t="s">
        <v>1396</v>
      </c>
      <c r="C430" s="2">
        <v>43009</v>
      </c>
      <c r="D430" s="2" t="str">
        <f>LEFT(orders[[#This Row],[Ship Date]],FIND("0",F430)-1)</f>
        <v>1</v>
      </c>
      <c r="E430" s="2" t="str">
        <f>RIGHT(orders[[#This Row],[Ship Date]],4)</f>
        <v>2017</v>
      </c>
      <c r="F430" s="4" t="s">
        <v>2181</v>
      </c>
      <c r="G430" t="s">
        <v>44</v>
      </c>
      <c r="H430" t="s">
        <v>1397</v>
      </c>
      <c r="I430" t="s">
        <v>1398</v>
      </c>
      <c r="J430" t="s">
        <v>36</v>
      </c>
      <c r="K430" s="5" t="s">
        <v>1936</v>
      </c>
      <c r="L430" s="5" t="str">
        <f t="shared" si="6"/>
        <v>San Antonio</v>
      </c>
      <c r="M430" t="s">
        <v>94</v>
      </c>
      <c r="N430">
        <v>78207</v>
      </c>
      <c r="O430" t="s">
        <v>95</v>
      </c>
      <c r="P430" t="s">
        <v>1399</v>
      </c>
      <c r="Q430" t="s">
        <v>40</v>
      </c>
      <c r="R430" t="s">
        <v>61</v>
      </c>
      <c r="S430" t="s">
        <v>1400</v>
      </c>
      <c r="T430">
        <v>6.6719999999999988</v>
      </c>
      <c r="U430">
        <v>6</v>
      </c>
      <c r="V430">
        <v>0.2</v>
      </c>
      <c r="W430">
        <v>0.50039999999999996</v>
      </c>
    </row>
    <row r="431" spans="1:23" x14ac:dyDescent="0.3">
      <c r="A431">
        <v>430</v>
      </c>
      <c r="B431" t="s">
        <v>1401</v>
      </c>
      <c r="C431" s="2">
        <v>42475</v>
      </c>
      <c r="D431" s="2" t="str">
        <f>LEFT(orders[[#This Row],[Ship Date]],FIND("0",F431)-1)</f>
        <v>4</v>
      </c>
      <c r="E431" s="2" t="str">
        <f>RIGHT(orders[[#This Row],[Ship Date]],4)</f>
        <v>2016</v>
      </c>
      <c r="F431" s="4" t="s">
        <v>2182</v>
      </c>
      <c r="G431" t="s">
        <v>44</v>
      </c>
      <c r="H431" t="s">
        <v>1402</v>
      </c>
      <c r="I431" t="s">
        <v>1403</v>
      </c>
      <c r="J431" t="s">
        <v>93</v>
      </c>
      <c r="K431" s="5" t="s">
        <v>1991</v>
      </c>
      <c r="L431" s="5" t="str">
        <f t="shared" si="6"/>
        <v>Gastonia</v>
      </c>
      <c r="M431" t="s">
        <v>80</v>
      </c>
      <c r="N431">
        <v>28052</v>
      </c>
      <c r="O431" t="s">
        <v>25</v>
      </c>
      <c r="P431" t="s">
        <v>1404</v>
      </c>
      <c r="Q431" t="s">
        <v>40</v>
      </c>
      <c r="R431" t="s">
        <v>68</v>
      </c>
      <c r="S431" t="s">
        <v>1405</v>
      </c>
      <c r="T431">
        <v>189.58800000000005</v>
      </c>
      <c r="U431">
        <v>2</v>
      </c>
      <c r="V431">
        <v>0.7</v>
      </c>
      <c r="W431">
        <v>-145.35079999999999</v>
      </c>
    </row>
    <row r="432" spans="1:23" x14ac:dyDescent="0.3">
      <c r="A432">
        <v>431</v>
      </c>
      <c r="B432" t="s">
        <v>1401</v>
      </c>
      <c r="C432" s="2">
        <v>42475</v>
      </c>
      <c r="D432" s="2" t="str">
        <f>LEFT(orders[[#This Row],[Ship Date]],FIND("0",F432)-1)</f>
        <v>4</v>
      </c>
      <c r="E432" s="2" t="str">
        <f>RIGHT(orders[[#This Row],[Ship Date]],4)</f>
        <v>2016</v>
      </c>
      <c r="F432" s="4" t="s">
        <v>2182</v>
      </c>
      <c r="G432" t="s">
        <v>44</v>
      </c>
      <c r="H432" t="s">
        <v>1402</v>
      </c>
      <c r="I432" t="s">
        <v>1403</v>
      </c>
      <c r="J432" t="s">
        <v>93</v>
      </c>
      <c r="K432" s="5" t="s">
        <v>1991</v>
      </c>
      <c r="L432" s="5" t="str">
        <f t="shared" si="6"/>
        <v>Gastonia</v>
      </c>
      <c r="M432" t="s">
        <v>80</v>
      </c>
      <c r="N432">
        <v>28052</v>
      </c>
      <c r="O432" t="s">
        <v>25</v>
      </c>
      <c r="P432" t="s">
        <v>675</v>
      </c>
      <c r="Q432" t="s">
        <v>64</v>
      </c>
      <c r="R432" t="s">
        <v>145</v>
      </c>
      <c r="S432" t="s">
        <v>676</v>
      </c>
      <c r="T432">
        <v>408.74399999999997</v>
      </c>
      <c r="U432">
        <v>7</v>
      </c>
      <c r="V432">
        <v>0.2</v>
      </c>
      <c r="W432">
        <v>76.639499999999984</v>
      </c>
    </row>
    <row r="433" spans="1:23" x14ac:dyDescent="0.3">
      <c r="A433">
        <v>432</v>
      </c>
      <c r="B433" t="s">
        <v>1401</v>
      </c>
      <c r="C433" s="2">
        <v>42475</v>
      </c>
      <c r="D433" s="2" t="str">
        <f>LEFT(orders[[#This Row],[Ship Date]],FIND("0",F433)-1)</f>
        <v>4</v>
      </c>
      <c r="E433" s="2" t="str">
        <f>RIGHT(orders[[#This Row],[Ship Date]],4)</f>
        <v>2016</v>
      </c>
      <c r="F433" s="4" t="s">
        <v>2182</v>
      </c>
      <c r="G433" t="s">
        <v>44</v>
      </c>
      <c r="H433" t="s">
        <v>1402</v>
      </c>
      <c r="I433" t="s">
        <v>1403</v>
      </c>
      <c r="J433" t="s">
        <v>93</v>
      </c>
      <c r="K433" s="5" t="s">
        <v>1991</v>
      </c>
      <c r="L433" s="5" t="str">
        <f t="shared" si="6"/>
        <v>Gastonia</v>
      </c>
      <c r="M433" t="s">
        <v>80</v>
      </c>
      <c r="N433">
        <v>28052</v>
      </c>
      <c r="O433" t="s">
        <v>25</v>
      </c>
      <c r="P433" t="s">
        <v>675</v>
      </c>
      <c r="Q433" t="s">
        <v>64</v>
      </c>
      <c r="R433" t="s">
        <v>145</v>
      </c>
      <c r="S433" t="s">
        <v>676</v>
      </c>
      <c r="T433">
        <v>291.95999999999998</v>
      </c>
      <c r="U433">
        <v>5</v>
      </c>
      <c r="V433">
        <v>0.2</v>
      </c>
      <c r="W433">
        <v>54.742499999999978</v>
      </c>
    </row>
    <row r="434" spans="1:23" x14ac:dyDescent="0.3">
      <c r="A434">
        <v>433</v>
      </c>
      <c r="B434" t="s">
        <v>1401</v>
      </c>
      <c r="C434" s="2">
        <v>42475</v>
      </c>
      <c r="D434" s="2" t="str">
        <f>LEFT(orders[[#This Row],[Ship Date]],FIND("0",F434)-1)</f>
        <v>4</v>
      </c>
      <c r="E434" s="2" t="str">
        <f>RIGHT(orders[[#This Row],[Ship Date]],4)</f>
        <v>2016</v>
      </c>
      <c r="F434" s="4" t="s">
        <v>2182</v>
      </c>
      <c r="G434" t="s">
        <v>44</v>
      </c>
      <c r="H434" t="s">
        <v>1402</v>
      </c>
      <c r="I434" t="s">
        <v>1403</v>
      </c>
      <c r="J434" t="s">
        <v>93</v>
      </c>
      <c r="K434" s="5" t="s">
        <v>1991</v>
      </c>
      <c r="L434" s="5" t="str">
        <f t="shared" si="6"/>
        <v>Gastonia</v>
      </c>
      <c r="M434" t="s">
        <v>80</v>
      </c>
      <c r="N434">
        <v>28052</v>
      </c>
      <c r="O434" t="s">
        <v>25</v>
      </c>
      <c r="P434" t="s">
        <v>1406</v>
      </c>
      <c r="Q434" t="s">
        <v>40</v>
      </c>
      <c r="R434" t="s">
        <v>52</v>
      </c>
      <c r="S434" t="s">
        <v>1407</v>
      </c>
      <c r="T434">
        <v>4.7679999999999998</v>
      </c>
      <c r="U434">
        <v>2</v>
      </c>
      <c r="V434">
        <v>0.2</v>
      </c>
      <c r="W434">
        <v>-0.7748000000000006</v>
      </c>
    </row>
    <row r="435" spans="1:23" x14ac:dyDescent="0.3">
      <c r="A435">
        <v>434</v>
      </c>
      <c r="B435" t="s">
        <v>1408</v>
      </c>
      <c r="C435" s="2">
        <v>42527</v>
      </c>
      <c r="D435" s="2" t="str">
        <f>LEFT(orders[[#This Row],[Ship Date]],FIND("0",F435)-1)</f>
        <v>6</v>
      </c>
      <c r="E435" s="2" t="str">
        <f>RIGHT(orders[[#This Row],[Ship Date]],4)</f>
        <v>2016</v>
      </c>
      <c r="F435" s="4" t="s">
        <v>2183</v>
      </c>
      <c r="G435" t="s">
        <v>171</v>
      </c>
      <c r="H435" t="s">
        <v>590</v>
      </c>
      <c r="I435" t="s">
        <v>591</v>
      </c>
      <c r="J435" t="s">
        <v>23</v>
      </c>
      <c r="K435" s="5" t="s">
        <v>1974</v>
      </c>
      <c r="L435" s="5" t="str">
        <f t="shared" si="6"/>
        <v>Lowell</v>
      </c>
      <c r="M435" t="s">
        <v>1153</v>
      </c>
      <c r="N435">
        <v>1852</v>
      </c>
      <c r="O435" t="s">
        <v>133</v>
      </c>
      <c r="P435" t="s">
        <v>1409</v>
      </c>
      <c r="Q435" t="s">
        <v>40</v>
      </c>
      <c r="R435" t="s">
        <v>52</v>
      </c>
      <c r="S435" t="s">
        <v>1410</v>
      </c>
      <c r="T435">
        <v>714.30000000000007</v>
      </c>
      <c r="U435">
        <v>5</v>
      </c>
      <c r="V435">
        <v>0</v>
      </c>
      <c r="W435">
        <v>207.14699999999993</v>
      </c>
    </row>
    <row r="436" spans="1:23" x14ac:dyDescent="0.3">
      <c r="A436">
        <v>435</v>
      </c>
      <c r="B436" t="s">
        <v>1411</v>
      </c>
      <c r="C436" s="2">
        <v>41992</v>
      </c>
      <c r="D436" s="2" t="str">
        <f>LEFT(orders[[#This Row],[Ship Date]],FIND("0",F436)-1)</f>
        <v>12</v>
      </c>
      <c r="E436" s="2" t="str">
        <f>RIGHT(orders[[#This Row],[Ship Date]],4)</f>
        <v>2014</v>
      </c>
      <c r="F436" s="4" t="s">
        <v>2184</v>
      </c>
      <c r="G436" t="s">
        <v>44</v>
      </c>
      <c r="H436" t="s">
        <v>1412</v>
      </c>
      <c r="I436" t="s">
        <v>1413</v>
      </c>
      <c r="J436" t="s">
        <v>23</v>
      </c>
      <c r="K436" s="5" t="s">
        <v>1992</v>
      </c>
      <c r="L436" s="5" t="str">
        <f t="shared" si="6"/>
        <v>Jacksonville</v>
      </c>
      <c r="M436" t="s">
        <v>47</v>
      </c>
      <c r="N436">
        <v>32216</v>
      </c>
      <c r="O436" t="s">
        <v>25</v>
      </c>
      <c r="P436" t="s">
        <v>1414</v>
      </c>
      <c r="Q436" t="s">
        <v>40</v>
      </c>
      <c r="R436" t="s">
        <v>68</v>
      </c>
      <c r="S436" t="s">
        <v>1415</v>
      </c>
      <c r="T436">
        <v>4.8120000000000003</v>
      </c>
      <c r="U436">
        <v>2</v>
      </c>
      <c r="V436">
        <v>0.7</v>
      </c>
      <c r="W436">
        <v>-3.6891999999999996</v>
      </c>
    </row>
    <row r="437" spans="1:23" x14ac:dyDescent="0.3">
      <c r="A437">
        <v>436</v>
      </c>
      <c r="B437" t="s">
        <v>1411</v>
      </c>
      <c r="C437" s="2">
        <v>41992</v>
      </c>
      <c r="D437" s="2" t="str">
        <f>LEFT(orders[[#This Row],[Ship Date]],FIND("0",F437)-1)</f>
        <v>12</v>
      </c>
      <c r="E437" s="2" t="str">
        <f>RIGHT(orders[[#This Row],[Ship Date]],4)</f>
        <v>2014</v>
      </c>
      <c r="F437" s="4" t="s">
        <v>2184</v>
      </c>
      <c r="G437" t="s">
        <v>44</v>
      </c>
      <c r="H437" t="s">
        <v>1412</v>
      </c>
      <c r="I437" t="s">
        <v>1413</v>
      </c>
      <c r="J437" t="s">
        <v>23</v>
      </c>
      <c r="K437" s="5" t="s">
        <v>1992</v>
      </c>
      <c r="L437" s="5" t="str">
        <f t="shared" si="6"/>
        <v>Jacksonville</v>
      </c>
      <c r="M437" t="s">
        <v>47</v>
      </c>
      <c r="N437">
        <v>32216</v>
      </c>
      <c r="O437" t="s">
        <v>25</v>
      </c>
      <c r="P437" t="s">
        <v>1416</v>
      </c>
      <c r="Q437" t="s">
        <v>64</v>
      </c>
      <c r="R437" t="s">
        <v>145</v>
      </c>
      <c r="S437" t="s">
        <v>1417</v>
      </c>
      <c r="T437">
        <v>247.8</v>
      </c>
      <c r="U437">
        <v>5</v>
      </c>
      <c r="V437">
        <v>0.2</v>
      </c>
      <c r="W437">
        <v>-18.584999999999994</v>
      </c>
    </row>
    <row r="438" spans="1:23" x14ac:dyDescent="0.3">
      <c r="A438">
        <v>437</v>
      </c>
      <c r="B438" t="s">
        <v>1418</v>
      </c>
      <c r="C438" s="2">
        <v>42533</v>
      </c>
      <c r="D438" s="2" t="str">
        <f>LEFT(orders[[#This Row],[Ship Date]],FIND("0",F438)-1)</f>
        <v>6</v>
      </c>
      <c r="E438" s="2" t="str">
        <f>RIGHT(orders[[#This Row],[Ship Date]],4)</f>
        <v>2016</v>
      </c>
      <c r="F438" s="4" t="s">
        <v>2185</v>
      </c>
      <c r="G438" t="s">
        <v>20</v>
      </c>
      <c r="H438" t="s">
        <v>1419</v>
      </c>
      <c r="I438" t="s">
        <v>1420</v>
      </c>
      <c r="J438" t="s">
        <v>93</v>
      </c>
      <c r="K438" s="5" t="s">
        <v>1906</v>
      </c>
      <c r="L438" s="5" t="str">
        <f t="shared" si="6"/>
        <v>Chicago</v>
      </c>
      <c r="M438" t="s">
        <v>192</v>
      </c>
      <c r="N438">
        <v>60623</v>
      </c>
      <c r="O438" t="s">
        <v>95</v>
      </c>
      <c r="P438" t="s">
        <v>1421</v>
      </c>
      <c r="Q438" t="s">
        <v>64</v>
      </c>
      <c r="R438" t="s">
        <v>627</v>
      </c>
      <c r="S438" t="s">
        <v>1422</v>
      </c>
      <c r="T438">
        <v>1007.979</v>
      </c>
      <c r="U438">
        <v>3</v>
      </c>
      <c r="V438">
        <v>0.3</v>
      </c>
      <c r="W438">
        <v>43.199100000000044</v>
      </c>
    </row>
    <row r="439" spans="1:23" x14ac:dyDescent="0.3">
      <c r="A439">
        <v>438</v>
      </c>
      <c r="B439" t="s">
        <v>1418</v>
      </c>
      <c r="C439" s="2">
        <v>42533</v>
      </c>
      <c r="D439" s="2" t="str">
        <f>LEFT(orders[[#This Row],[Ship Date]],FIND("0",F439)-1)</f>
        <v>6</v>
      </c>
      <c r="E439" s="2" t="str">
        <f>RIGHT(orders[[#This Row],[Ship Date]],4)</f>
        <v>2016</v>
      </c>
      <c r="F439" s="4" t="s">
        <v>2185</v>
      </c>
      <c r="G439" t="s">
        <v>20</v>
      </c>
      <c r="H439" t="s">
        <v>1419</v>
      </c>
      <c r="I439" t="s">
        <v>1420</v>
      </c>
      <c r="J439" t="s">
        <v>93</v>
      </c>
      <c r="K439" s="5" t="s">
        <v>1906</v>
      </c>
      <c r="L439" s="5" t="str">
        <f t="shared" si="6"/>
        <v>Chicago</v>
      </c>
      <c r="M439" t="s">
        <v>192</v>
      </c>
      <c r="N439">
        <v>60623</v>
      </c>
      <c r="O439" t="s">
        <v>95</v>
      </c>
      <c r="P439" t="s">
        <v>1159</v>
      </c>
      <c r="Q439" t="s">
        <v>40</v>
      </c>
      <c r="R439" t="s">
        <v>82</v>
      </c>
      <c r="S439" t="s">
        <v>1342</v>
      </c>
      <c r="T439">
        <v>313.488</v>
      </c>
      <c r="U439">
        <v>7</v>
      </c>
      <c r="V439">
        <v>0.2</v>
      </c>
      <c r="W439">
        <v>113.63939999999998</v>
      </c>
    </row>
    <row r="440" spans="1:23" x14ac:dyDescent="0.3">
      <c r="A440">
        <v>439</v>
      </c>
      <c r="B440" t="s">
        <v>1423</v>
      </c>
      <c r="C440" s="2">
        <v>42993</v>
      </c>
      <c r="D440" s="2" t="str">
        <f>LEFT(orders[[#This Row],[Ship Date]],FIND("0",F440)-1)</f>
        <v>9</v>
      </c>
      <c r="E440" s="2" t="str">
        <f>RIGHT(orders[[#This Row],[Ship Date]],4)</f>
        <v>2017</v>
      </c>
      <c r="F440" s="4" t="s">
        <v>2186</v>
      </c>
      <c r="G440" t="s">
        <v>44</v>
      </c>
      <c r="H440" t="s">
        <v>1424</v>
      </c>
      <c r="I440" t="s">
        <v>1425</v>
      </c>
      <c r="J440" t="s">
        <v>36</v>
      </c>
      <c r="K440" s="5" t="s">
        <v>1896</v>
      </c>
      <c r="L440" s="5" t="str">
        <f t="shared" si="6"/>
        <v>Houston</v>
      </c>
      <c r="M440" t="s">
        <v>94</v>
      </c>
      <c r="N440">
        <v>77070</v>
      </c>
      <c r="O440" t="s">
        <v>95</v>
      </c>
      <c r="P440" t="s">
        <v>1426</v>
      </c>
      <c r="Q440" t="s">
        <v>40</v>
      </c>
      <c r="R440" t="s">
        <v>82</v>
      </c>
      <c r="S440" t="s">
        <v>1427</v>
      </c>
      <c r="T440">
        <v>31.872000000000003</v>
      </c>
      <c r="U440">
        <v>8</v>
      </c>
      <c r="V440">
        <v>0.2</v>
      </c>
      <c r="W440">
        <v>11.553600000000003</v>
      </c>
    </row>
    <row r="441" spans="1:23" x14ac:dyDescent="0.3">
      <c r="A441">
        <v>440</v>
      </c>
      <c r="B441" t="s">
        <v>1428</v>
      </c>
      <c r="C441" s="2">
        <v>42755</v>
      </c>
      <c r="D441" s="2" t="str">
        <f>LEFT(orders[[#This Row],[Ship Date]],FIND("0",F441)-1)</f>
        <v>1</v>
      </c>
      <c r="E441" s="2" t="str">
        <f>RIGHT(orders[[#This Row],[Ship Date]],4)</f>
        <v>2017</v>
      </c>
      <c r="F441" s="4" t="s">
        <v>2187</v>
      </c>
      <c r="G441" t="s">
        <v>20</v>
      </c>
      <c r="H441" t="s">
        <v>440</v>
      </c>
      <c r="I441" t="s">
        <v>441</v>
      </c>
      <c r="J441" t="s">
        <v>36</v>
      </c>
      <c r="K441" s="5" t="s">
        <v>1904</v>
      </c>
      <c r="L441" s="5" t="str">
        <f t="shared" si="6"/>
        <v>New York City</v>
      </c>
      <c r="M441" t="s">
        <v>242</v>
      </c>
      <c r="N441">
        <v>10024</v>
      </c>
      <c r="O441" t="s">
        <v>133</v>
      </c>
      <c r="P441" t="s">
        <v>1429</v>
      </c>
      <c r="Q441" t="s">
        <v>27</v>
      </c>
      <c r="R441" t="s">
        <v>31</v>
      </c>
      <c r="S441" t="s">
        <v>1430</v>
      </c>
      <c r="T441">
        <v>207.84600000000003</v>
      </c>
      <c r="U441">
        <v>3</v>
      </c>
      <c r="V441">
        <v>0.1</v>
      </c>
      <c r="W441">
        <v>2.3093999999999895</v>
      </c>
    </row>
    <row r="442" spans="1:23" x14ac:dyDescent="0.3">
      <c r="A442">
        <v>441</v>
      </c>
      <c r="B442" t="s">
        <v>1431</v>
      </c>
      <c r="C442" s="2">
        <v>42618</v>
      </c>
      <c r="D442" s="2" t="str">
        <f>LEFT(orders[[#This Row],[Ship Date]],FIND("0",F442)-1)</f>
        <v>9</v>
      </c>
      <c r="E442" s="2" t="str">
        <f>RIGHT(orders[[#This Row],[Ship Date]],4)</f>
        <v>2016</v>
      </c>
      <c r="F442" s="4" t="s">
        <v>2064</v>
      </c>
      <c r="G442" t="s">
        <v>20</v>
      </c>
      <c r="H442" t="s">
        <v>101</v>
      </c>
      <c r="I442" t="s">
        <v>102</v>
      </c>
      <c r="J442" t="s">
        <v>23</v>
      </c>
      <c r="K442" s="5" t="s">
        <v>1950</v>
      </c>
      <c r="L442" s="5" t="str">
        <f t="shared" si="6"/>
        <v>Detroit</v>
      </c>
      <c r="M442" t="s">
        <v>216</v>
      </c>
      <c r="N442">
        <v>48227</v>
      </c>
      <c r="O442" t="s">
        <v>95</v>
      </c>
      <c r="P442" t="s">
        <v>1432</v>
      </c>
      <c r="Q442" t="s">
        <v>27</v>
      </c>
      <c r="R442" t="s">
        <v>58</v>
      </c>
      <c r="S442" t="s">
        <v>1433</v>
      </c>
      <c r="T442">
        <v>12.22</v>
      </c>
      <c r="U442">
        <v>1</v>
      </c>
      <c r="V442">
        <v>0</v>
      </c>
      <c r="W442">
        <v>3.6659999999999986</v>
      </c>
    </row>
    <row r="443" spans="1:23" x14ac:dyDescent="0.3">
      <c r="A443">
        <v>442</v>
      </c>
      <c r="B443" t="s">
        <v>1431</v>
      </c>
      <c r="C443" s="2">
        <v>42618</v>
      </c>
      <c r="D443" s="2" t="str">
        <f>LEFT(orders[[#This Row],[Ship Date]],FIND("0",F443)-1)</f>
        <v>9</v>
      </c>
      <c r="E443" s="2" t="str">
        <f>RIGHT(orders[[#This Row],[Ship Date]],4)</f>
        <v>2016</v>
      </c>
      <c r="F443" s="4" t="s">
        <v>2064</v>
      </c>
      <c r="G443" t="s">
        <v>20</v>
      </c>
      <c r="H443" t="s">
        <v>101</v>
      </c>
      <c r="I443" t="s">
        <v>102</v>
      </c>
      <c r="J443" t="s">
        <v>23</v>
      </c>
      <c r="K443" s="5" t="s">
        <v>1950</v>
      </c>
      <c r="L443" s="5" t="str">
        <f t="shared" si="6"/>
        <v>Detroit</v>
      </c>
      <c r="M443" t="s">
        <v>216</v>
      </c>
      <c r="N443">
        <v>48227</v>
      </c>
      <c r="O443" t="s">
        <v>95</v>
      </c>
      <c r="P443" t="s">
        <v>1434</v>
      </c>
      <c r="Q443" t="s">
        <v>40</v>
      </c>
      <c r="R443" t="s">
        <v>52</v>
      </c>
      <c r="S443" t="s">
        <v>1435</v>
      </c>
      <c r="T443">
        <v>194.94</v>
      </c>
      <c r="U443">
        <v>3</v>
      </c>
      <c r="V443">
        <v>0</v>
      </c>
      <c r="W443">
        <v>23.392800000000008</v>
      </c>
    </row>
    <row r="444" spans="1:23" x14ac:dyDescent="0.3">
      <c r="A444">
        <v>443</v>
      </c>
      <c r="B444" t="s">
        <v>1431</v>
      </c>
      <c r="C444" s="2">
        <v>42618</v>
      </c>
      <c r="D444" s="2" t="str">
        <f>LEFT(orders[[#This Row],[Ship Date]],FIND("0",F444)-1)</f>
        <v>9</v>
      </c>
      <c r="E444" s="2" t="str">
        <f>RIGHT(orders[[#This Row],[Ship Date]],4)</f>
        <v>2016</v>
      </c>
      <c r="F444" s="4" t="s">
        <v>2064</v>
      </c>
      <c r="G444" t="s">
        <v>20</v>
      </c>
      <c r="H444" t="s">
        <v>101</v>
      </c>
      <c r="I444" t="s">
        <v>102</v>
      </c>
      <c r="J444" t="s">
        <v>23</v>
      </c>
      <c r="K444" s="5" t="s">
        <v>1950</v>
      </c>
      <c r="L444" s="5" t="str">
        <f t="shared" si="6"/>
        <v>Detroit</v>
      </c>
      <c r="M444" t="s">
        <v>216</v>
      </c>
      <c r="N444">
        <v>48227</v>
      </c>
      <c r="O444" t="s">
        <v>95</v>
      </c>
      <c r="P444" t="s">
        <v>1436</v>
      </c>
      <c r="Q444" t="s">
        <v>40</v>
      </c>
      <c r="R444" t="s">
        <v>52</v>
      </c>
      <c r="S444" t="s">
        <v>1437</v>
      </c>
      <c r="T444">
        <v>70.949999999999989</v>
      </c>
      <c r="U444">
        <v>3</v>
      </c>
      <c r="V444">
        <v>0</v>
      </c>
      <c r="W444">
        <v>20.575499999999998</v>
      </c>
    </row>
    <row r="445" spans="1:23" x14ac:dyDescent="0.3">
      <c r="A445">
        <v>444</v>
      </c>
      <c r="B445" t="s">
        <v>1431</v>
      </c>
      <c r="C445" s="2">
        <v>42618</v>
      </c>
      <c r="D445" s="2" t="str">
        <f>LEFT(orders[[#This Row],[Ship Date]],FIND("0",F445)-1)</f>
        <v>9</v>
      </c>
      <c r="E445" s="2" t="str">
        <f>RIGHT(orders[[#This Row],[Ship Date]],4)</f>
        <v>2016</v>
      </c>
      <c r="F445" s="4" t="s">
        <v>2064</v>
      </c>
      <c r="G445" t="s">
        <v>20</v>
      </c>
      <c r="H445" t="s">
        <v>101</v>
      </c>
      <c r="I445" t="s">
        <v>102</v>
      </c>
      <c r="J445" t="s">
        <v>23</v>
      </c>
      <c r="K445" s="5" t="s">
        <v>1950</v>
      </c>
      <c r="L445" s="5" t="str">
        <f t="shared" si="6"/>
        <v>Detroit</v>
      </c>
      <c r="M445" t="s">
        <v>216</v>
      </c>
      <c r="N445">
        <v>48227</v>
      </c>
      <c r="O445" t="s">
        <v>95</v>
      </c>
      <c r="P445" t="s">
        <v>1438</v>
      </c>
      <c r="Q445" t="s">
        <v>40</v>
      </c>
      <c r="R445" t="s">
        <v>82</v>
      </c>
      <c r="S445" t="s">
        <v>1439</v>
      </c>
      <c r="T445">
        <v>91.36</v>
      </c>
      <c r="U445">
        <v>4</v>
      </c>
      <c r="V445">
        <v>0</v>
      </c>
      <c r="W445">
        <v>42.025599999999997</v>
      </c>
    </row>
    <row r="446" spans="1:23" x14ac:dyDescent="0.3">
      <c r="A446">
        <v>445</v>
      </c>
      <c r="B446" t="s">
        <v>1431</v>
      </c>
      <c r="C446" s="2">
        <v>42618</v>
      </c>
      <c r="D446" s="2" t="str">
        <f>LEFT(orders[[#This Row],[Ship Date]],FIND("0",F446)-1)</f>
        <v>9</v>
      </c>
      <c r="E446" s="2" t="str">
        <f>RIGHT(orders[[#This Row],[Ship Date]],4)</f>
        <v>2016</v>
      </c>
      <c r="F446" s="4" t="s">
        <v>2064</v>
      </c>
      <c r="G446" t="s">
        <v>20</v>
      </c>
      <c r="H446" t="s">
        <v>101</v>
      </c>
      <c r="I446" t="s">
        <v>102</v>
      </c>
      <c r="J446" t="s">
        <v>23</v>
      </c>
      <c r="K446" s="5" t="s">
        <v>1950</v>
      </c>
      <c r="L446" s="5" t="str">
        <f t="shared" si="6"/>
        <v>Detroit</v>
      </c>
      <c r="M446" t="s">
        <v>216</v>
      </c>
      <c r="N446">
        <v>48227</v>
      </c>
      <c r="O446" t="s">
        <v>95</v>
      </c>
      <c r="P446" t="s">
        <v>1440</v>
      </c>
      <c r="Q446" t="s">
        <v>27</v>
      </c>
      <c r="R446" t="s">
        <v>31</v>
      </c>
      <c r="S446" t="s">
        <v>1441</v>
      </c>
      <c r="T446">
        <v>242.94</v>
      </c>
      <c r="U446">
        <v>3</v>
      </c>
      <c r="V446">
        <v>0</v>
      </c>
      <c r="W446">
        <v>29.152800000000013</v>
      </c>
    </row>
    <row r="447" spans="1:23" x14ac:dyDescent="0.3">
      <c r="A447">
        <v>446</v>
      </c>
      <c r="B447" t="s">
        <v>1431</v>
      </c>
      <c r="C447" s="2">
        <v>42618</v>
      </c>
      <c r="D447" s="2" t="str">
        <f>LEFT(orders[[#This Row],[Ship Date]],FIND("0",F447)-1)</f>
        <v>9</v>
      </c>
      <c r="E447" s="2" t="str">
        <f>RIGHT(orders[[#This Row],[Ship Date]],4)</f>
        <v>2016</v>
      </c>
      <c r="F447" s="4" t="s">
        <v>2064</v>
      </c>
      <c r="G447" t="s">
        <v>20</v>
      </c>
      <c r="H447" t="s">
        <v>101</v>
      </c>
      <c r="I447" t="s">
        <v>102</v>
      </c>
      <c r="J447" t="s">
        <v>23</v>
      </c>
      <c r="K447" s="5" t="s">
        <v>1950</v>
      </c>
      <c r="L447" s="5" t="str">
        <f t="shared" si="6"/>
        <v>Detroit</v>
      </c>
      <c r="M447" t="s">
        <v>216</v>
      </c>
      <c r="N447">
        <v>48227</v>
      </c>
      <c r="O447" t="s">
        <v>95</v>
      </c>
      <c r="P447" t="s">
        <v>1442</v>
      </c>
      <c r="Q447" t="s">
        <v>40</v>
      </c>
      <c r="R447" t="s">
        <v>41</v>
      </c>
      <c r="S447" t="s">
        <v>1443</v>
      </c>
      <c r="T447">
        <v>22.05</v>
      </c>
      <c r="U447">
        <v>7</v>
      </c>
      <c r="V447">
        <v>0</v>
      </c>
      <c r="W447">
        <v>10.584</v>
      </c>
    </row>
    <row r="448" spans="1:23" x14ac:dyDescent="0.3">
      <c r="A448">
        <v>447</v>
      </c>
      <c r="B448" t="s">
        <v>1444</v>
      </c>
      <c r="C448" s="2">
        <v>42814</v>
      </c>
      <c r="D448" s="2" t="str">
        <f>LEFT(orders[[#This Row],[Ship Date]],FIND("0",F448)-1)</f>
        <v>3</v>
      </c>
      <c r="E448" s="2" t="str">
        <f>RIGHT(orders[[#This Row],[Ship Date]],4)</f>
        <v>2017</v>
      </c>
      <c r="F448" s="4" t="s">
        <v>2188</v>
      </c>
      <c r="G448" t="s">
        <v>20</v>
      </c>
      <c r="H448" t="s">
        <v>1445</v>
      </c>
      <c r="I448" t="s">
        <v>1446</v>
      </c>
      <c r="J448" t="s">
        <v>23</v>
      </c>
      <c r="K448" s="5" t="s">
        <v>1922</v>
      </c>
      <c r="L448" s="5" t="str">
        <f t="shared" si="6"/>
        <v>Columbus</v>
      </c>
      <c r="M448" t="s">
        <v>230</v>
      </c>
      <c r="N448">
        <v>47201</v>
      </c>
      <c r="O448" t="s">
        <v>95</v>
      </c>
      <c r="P448" t="s">
        <v>1447</v>
      </c>
      <c r="Q448" t="s">
        <v>27</v>
      </c>
      <c r="R448" t="s">
        <v>58</v>
      </c>
      <c r="S448" t="s">
        <v>1448</v>
      </c>
      <c r="T448">
        <v>2.91</v>
      </c>
      <c r="U448">
        <v>1</v>
      </c>
      <c r="V448">
        <v>0</v>
      </c>
      <c r="W448">
        <v>1.3676999999999999</v>
      </c>
    </row>
    <row r="449" spans="1:23" x14ac:dyDescent="0.3">
      <c r="A449">
        <v>448</v>
      </c>
      <c r="B449" t="s">
        <v>1449</v>
      </c>
      <c r="C449" s="2">
        <v>42461</v>
      </c>
      <c r="D449" s="2" t="str">
        <f>LEFT(orders[[#This Row],[Ship Date]],FIND("0",F449)-1)</f>
        <v>4</v>
      </c>
      <c r="E449" s="2" t="str">
        <f>RIGHT(orders[[#This Row],[Ship Date]],4)</f>
        <v>2016</v>
      </c>
      <c r="F449" s="4" t="s">
        <v>2189</v>
      </c>
      <c r="G449" t="s">
        <v>20</v>
      </c>
      <c r="H449" t="s">
        <v>1450</v>
      </c>
      <c r="I449" t="s">
        <v>1451</v>
      </c>
      <c r="J449" t="s">
        <v>23</v>
      </c>
      <c r="K449" s="5" t="s">
        <v>1993</v>
      </c>
      <c r="L449" s="5" t="str">
        <f t="shared" si="6"/>
        <v>Auburn</v>
      </c>
      <c r="M449" t="s">
        <v>242</v>
      </c>
      <c r="N449">
        <v>13021</v>
      </c>
      <c r="O449" t="s">
        <v>133</v>
      </c>
      <c r="P449" t="s">
        <v>1452</v>
      </c>
      <c r="Q449" t="s">
        <v>40</v>
      </c>
      <c r="R449" t="s">
        <v>61</v>
      </c>
      <c r="S449" t="s">
        <v>1453</v>
      </c>
      <c r="T449">
        <v>59.519999999999996</v>
      </c>
      <c r="U449">
        <v>3</v>
      </c>
      <c r="V449">
        <v>0</v>
      </c>
      <c r="W449">
        <v>15.475200000000001</v>
      </c>
    </row>
    <row r="450" spans="1:23" x14ac:dyDescent="0.3">
      <c r="A450">
        <v>449</v>
      </c>
      <c r="B450" t="s">
        <v>1449</v>
      </c>
      <c r="C450" s="2">
        <v>42461</v>
      </c>
      <c r="D450" s="2" t="str">
        <f>LEFT(orders[[#This Row],[Ship Date]],FIND("0",F450)-1)</f>
        <v>4</v>
      </c>
      <c r="E450" s="2" t="str">
        <f>RIGHT(orders[[#This Row],[Ship Date]],4)</f>
        <v>2016</v>
      </c>
      <c r="F450" s="4" t="s">
        <v>2189</v>
      </c>
      <c r="G450" t="s">
        <v>20</v>
      </c>
      <c r="H450" t="s">
        <v>1450</v>
      </c>
      <c r="I450" t="s">
        <v>1451</v>
      </c>
      <c r="J450" t="s">
        <v>23</v>
      </c>
      <c r="K450" s="5" t="s">
        <v>1993</v>
      </c>
      <c r="L450" s="5" t="str">
        <f t="shared" ref="L450:L500" si="7">_xlfn.TEXTAFTER(K450,",")</f>
        <v>Auburn</v>
      </c>
      <c r="M450" t="s">
        <v>242</v>
      </c>
      <c r="N450">
        <v>13021</v>
      </c>
      <c r="O450" t="s">
        <v>133</v>
      </c>
      <c r="P450" t="s">
        <v>1454</v>
      </c>
      <c r="Q450" t="s">
        <v>40</v>
      </c>
      <c r="R450" t="s">
        <v>52</v>
      </c>
      <c r="S450" t="s">
        <v>1455</v>
      </c>
      <c r="T450">
        <v>161.94</v>
      </c>
      <c r="U450">
        <v>3</v>
      </c>
      <c r="V450">
        <v>0</v>
      </c>
      <c r="W450">
        <v>9.716399999999993</v>
      </c>
    </row>
    <row r="451" spans="1:23" x14ac:dyDescent="0.3">
      <c r="A451">
        <v>450</v>
      </c>
      <c r="B451" t="s">
        <v>1449</v>
      </c>
      <c r="C451" s="2">
        <v>42461</v>
      </c>
      <c r="D451" s="2" t="str">
        <f>LEFT(orders[[#This Row],[Ship Date]],FIND("0",F451)-1)</f>
        <v>4</v>
      </c>
      <c r="E451" s="2" t="str">
        <f>RIGHT(orders[[#This Row],[Ship Date]],4)</f>
        <v>2016</v>
      </c>
      <c r="F451" s="4" t="s">
        <v>2189</v>
      </c>
      <c r="G451" t="s">
        <v>20</v>
      </c>
      <c r="H451" t="s">
        <v>1450</v>
      </c>
      <c r="I451" t="s">
        <v>1451</v>
      </c>
      <c r="J451" t="s">
        <v>23</v>
      </c>
      <c r="K451" s="5" t="s">
        <v>1993</v>
      </c>
      <c r="L451" s="5" t="str">
        <f t="shared" si="7"/>
        <v>Auburn</v>
      </c>
      <c r="M451" t="s">
        <v>242</v>
      </c>
      <c r="N451">
        <v>13021</v>
      </c>
      <c r="O451" t="s">
        <v>133</v>
      </c>
      <c r="P451" t="s">
        <v>1456</v>
      </c>
      <c r="Q451" t="s">
        <v>40</v>
      </c>
      <c r="R451" t="s">
        <v>61</v>
      </c>
      <c r="S451" t="s">
        <v>1457</v>
      </c>
      <c r="T451">
        <v>263.88</v>
      </c>
      <c r="U451">
        <v>6</v>
      </c>
      <c r="V451">
        <v>0</v>
      </c>
      <c r="W451">
        <v>71.247600000000006</v>
      </c>
    </row>
    <row r="452" spans="1:23" x14ac:dyDescent="0.3">
      <c r="A452">
        <v>451</v>
      </c>
      <c r="B452" t="s">
        <v>1449</v>
      </c>
      <c r="C452" s="2">
        <v>42461</v>
      </c>
      <c r="D452" s="2" t="str">
        <f>LEFT(orders[[#This Row],[Ship Date]],FIND("0",F452)-1)</f>
        <v>4</v>
      </c>
      <c r="E452" s="2" t="str">
        <f>RIGHT(orders[[#This Row],[Ship Date]],4)</f>
        <v>2016</v>
      </c>
      <c r="F452" s="4" t="s">
        <v>2189</v>
      </c>
      <c r="G452" t="s">
        <v>20</v>
      </c>
      <c r="H452" t="s">
        <v>1450</v>
      </c>
      <c r="I452" t="s">
        <v>1451</v>
      </c>
      <c r="J452" t="s">
        <v>23</v>
      </c>
      <c r="K452" s="5" t="s">
        <v>1993</v>
      </c>
      <c r="L452" s="5" t="str">
        <f t="shared" si="7"/>
        <v>Auburn</v>
      </c>
      <c r="M452" t="s">
        <v>242</v>
      </c>
      <c r="N452">
        <v>13021</v>
      </c>
      <c r="O452" t="s">
        <v>133</v>
      </c>
      <c r="P452" t="s">
        <v>1458</v>
      </c>
      <c r="Q452" t="s">
        <v>40</v>
      </c>
      <c r="R452" t="s">
        <v>61</v>
      </c>
      <c r="S452" t="s">
        <v>1459</v>
      </c>
      <c r="T452">
        <v>30.48</v>
      </c>
      <c r="U452">
        <v>3</v>
      </c>
      <c r="V452">
        <v>0</v>
      </c>
      <c r="W452">
        <v>7.9248000000000012</v>
      </c>
    </row>
    <row r="453" spans="1:23" x14ac:dyDescent="0.3">
      <c r="A453">
        <v>452</v>
      </c>
      <c r="B453" t="s">
        <v>1449</v>
      </c>
      <c r="C453" s="2">
        <v>42461</v>
      </c>
      <c r="D453" s="2" t="str">
        <f>LEFT(orders[[#This Row],[Ship Date]],FIND("0",F453)-1)</f>
        <v>4</v>
      </c>
      <c r="E453" s="2" t="str">
        <f>RIGHT(orders[[#This Row],[Ship Date]],4)</f>
        <v>2016</v>
      </c>
      <c r="F453" s="4" t="s">
        <v>2189</v>
      </c>
      <c r="G453" t="s">
        <v>20</v>
      </c>
      <c r="H453" t="s">
        <v>1450</v>
      </c>
      <c r="I453" t="s">
        <v>1451</v>
      </c>
      <c r="J453" t="s">
        <v>23</v>
      </c>
      <c r="K453" s="5" t="s">
        <v>1993</v>
      </c>
      <c r="L453" s="5" t="str">
        <f t="shared" si="7"/>
        <v>Auburn</v>
      </c>
      <c r="M453" t="s">
        <v>242</v>
      </c>
      <c r="N453">
        <v>13021</v>
      </c>
      <c r="O453" t="s">
        <v>133</v>
      </c>
      <c r="P453" t="s">
        <v>1460</v>
      </c>
      <c r="Q453" t="s">
        <v>40</v>
      </c>
      <c r="R453" t="s">
        <v>61</v>
      </c>
      <c r="S453" t="s">
        <v>1461</v>
      </c>
      <c r="T453">
        <v>9.84</v>
      </c>
      <c r="U453">
        <v>3</v>
      </c>
      <c r="V453">
        <v>0</v>
      </c>
      <c r="W453">
        <v>2.8535999999999988</v>
      </c>
    </row>
    <row r="454" spans="1:23" x14ac:dyDescent="0.3">
      <c r="A454">
        <v>453</v>
      </c>
      <c r="B454" t="s">
        <v>1449</v>
      </c>
      <c r="C454" s="2">
        <v>42461</v>
      </c>
      <c r="D454" s="2" t="str">
        <f>LEFT(orders[[#This Row],[Ship Date]],FIND("0",F454)-1)</f>
        <v>4</v>
      </c>
      <c r="E454" s="2" t="str">
        <f>RIGHT(orders[[#This Row],[Ship Date]],4)</f>
        <v>2016</v>
      </c>
      <c r="F454" s="4" t="s">
        <v>2189</v>
      </c>
      <c r="G454" t="s">
        <v>20</v>
      </c>
      <c r="H454" t="s">
        <v>1450</v>
      </c>
      <c r="I454" t="s">
        <v>1451</v>
      </c>
      <c r="J454" t="s">
        <v>23</v>
      </c>
      <c r="K454" s="5" t="s">
        <v>1993</v>
      </c>
      <c r="L454" s="5" t="str">
        <f t="shared" si="7"/>
        <v>Auburn</v>
      </c>
      <c r="M454" t="s">
        <v>242</v>
      </c>
      <c r="N454">
        <v>13021</v>
      </c>
      <c r="O454" t="s">
        <v>133</v>
      </c>
      <c r="P454" t="s">
        <v>1462</v>
      </c>
      <c r="Q454" t="s">
        <v>64</v>
      </c>
      <c r="R454" t="s">
        <v>65</v>
      </c>
      <c r="S454" t="s">
        <v>1463</v>
      </c>
      <c r="T454">
        <v>35.119999999999997</v>
      </c>
      <c r="U454">
        <v>4</v>
      </c>
      <c r="V454">
        <v>0</v>
      </c>
      <c r="W454">
        <v>9.1311999999999998</v>
      </c>
    </row>
    <row r="455" spans="1:23" x14ac:dyDescent="0.3">
      <c r="A455">
        <v>454</v>
      </c>
      <c r="B455" t="s">
        <v>1464</v>
      </c>
      <c r="C455" s="2">
        <v>43028</v>
      </c>
      <c r="D455" s="2" t="str">
        <f>LEFT(orders[[#This Row],[Ship Date]],FIND("0",F455)-1)</f>
        <v>1</v>
      </c>
      <c r="E455" s="2" t="str">
        <f>RIGHT(orders[[#This Row],[Ship Date]],4)</f>
        <v>2017</v>
      </c>
      <c r="F455" s="4" t="s">
        <v>2190</v>
      </c>
      <c r="G455" t="s">
        <v>44</v>
      </c>
      <c r="H455" t="s">
        <v>1465</v>
      </c>
      <c r="I455" t="s">
        <v>1466</v>
      </c>
      <c r="J455" t="s">
        <v>36</v>
      </c>
      <c r="K455" s="5" t="s">
        <v>1943</v>
      </c>
      <c r="L455" s="5" t="str">
        <f t="shared" si="7"/>
        <v>Akron</v>
      </c>
      <c r="M455" t="s">
        <v>455</v>
      </c>
      <c r="N455">
        <v>44312</v>
      </c>
      <c r="O455" t="s">
        <v>133</v>
      </c>
      <c r="P455" t="s">
        <v>73</v>
      </c>
      <c r="Q455" t="s">
        <v>27</v>
      </c>
      <c r="R455" t="s">
        <v>49</v>
      </c>
      <c r="S455" t="s">
        <v>74</v>
      </c>
      <c r="T455">
        <v>284.36399999999998</v>
      </c>
      <c r="U455">
        <v>2</v>
      </c>
      <c r="V455">
        <v>0.4</v>
      </c>
      <c r="W455">
        <v>-75.830400000000054</v>
      </c>
    </row>
    <row r="456" spans="1:23" x14ac:dyDescent="0.3">
      <c r="A456">
        <v>455</v>
      </c>
      <c r="B456" t="s">
        <v>1464</v>
      </c>
      <c r="C456" s="2">
        <v>43028</v>
      </c>
      <c r="D456" s="2" t="str">
        <f>LEFT(orders[[#This Row],[Ship Date]],FIND("0",F456)-1)</f>
        <v>1</v>
      </c>
      <c r="E456" s="2" t="str">
        <f>RIGHT(orders[[#This Row],[Ship Date]],4)</f>
        <v>2017</v>
      </c>
      <c r="F456" s="4" t="s">
        <v>2190</v>
      </c>
      <c r="G456" t="s">
        <v>44</v>
      </c>
      <c r="H456" t="s">
        <v>1465</v>
      </c>
      <c r="I456" t="s">
        <v>1466</v>
      </c>
      <c r="J456" t="s">
        <v>36</v>
      </c>
      <c r="K456" s="5" t="s">
        <v>1943</v>
      </c>
      <c r="L456" s="5" t="str">
        <f t="shared" si="7"/>
        <v>Akron</v>
      </c>
      <c r="M456" t="s">
        <v>455</v>
      </c>
      <c r="N456">
        <v>44312</v>
      </c>
      <c r="O456" t="s">
        <v>133</v>
      </c>
      <c r="P456" t="s">
        <v>1467</v>
      </c>
      <c r="Q456" t="s">
        <v>40</v>
      </c>
      <c r="R456" t="s">
        <v>52</v>
      </c>
      <c r="S456" t="s">
        <v>1468</v>
      </c>
      <c r="T456">
        <v>665.40800000000002</v>
      </c>
      <c r="U456">
        <v>2</v>
      </c>
      <c r="V456">
        <v>0.2</v>
      </c>
      <c r="W456">
        <v>66.540799999999962</v>
      </c>
    </row>
    <row r="457" spans="1:23" x14ac:dyDescent="0.3">
      <c r="A457">
        <v>456</v>
      </c>
      <c r="B457" t="s">
        <v>1469</v>
      </c>
      <c r="C457" s="2">
        <v>42717</v>
      </c>
      <c r="D457" s="2" t="str">
        <f>LEFT(orders[[#This Row],[Ship Date]],FIND("0",F457)-1)</f>
        <v>12</v>
      </c>
      <c r="E457" s="2" t="str">
        <f>RIGHT(orders[[#This Row],[Ship Date]],4)</f>
        <v>2016</v>
      </c>
      <c r="F457" s="4" t="s">
        <v>2026</v>
      </c>
      <c r="G457" t="s">
        <v>44</v>
      </c>
      <c r="H457" t="s">
        <v>1397</v>
      </c>
      <c r="I457" t="s">
        <v>1398</v>
      </c>
      <c r="J457" t="s">
        <v>36</v>
      </c>
      <c r="K457" s="5" t="s">
        <v>1994</v>
      </c>
      <c r="L457" s="5" t="str">
        <f t="shared" si="7"/>
        <v>Norman</v>
      </c>
      <c r="M457" t="s">
        <v>595</v>
      </c>
      <c r="N457">
        <v>73071</v>
      </c>
      <c r="O457" t="s">
        <v>95</v>
      </c>
      <c r="P457" t="s">
        <v>1470</v>
      </c>
      <c r="Q457" t="s">
        <v>64</v>
      </c>
      <c r="R457" t="s">
        <v>145</v>
      </c>
      <c r="S457" t="s">
        <v>1471</v>
      </c>
      <c r="T457">
        <v>63.88</v>
      </c>
      <c r="U457">
        <v>4</v>
      </c>
      <c r="V457">
        <v>0</v>
      </c>
      <c r="W457">
        <v>24.913200000000003</v>
      </c>
    </row>
    <row r="458" spans="1:23" x14ac:dyDescent="0.3">
      <c r="A458">
        <v>457</v>
      </c>
      <c r="B458" t="s">
        <v>1472</v>
      </c>
      <c r="C458" s="2">
        <v>41682</v>
      </c>
      <c r="D458" s="2" t="str">
        <f>LEFT(orders[[#This Row],[Ship Date]],FIND("0",F458)-1)</f>
        <v>2</v>
      </c>
      <c r="E458" s="2" t="str">
        <f>RIGHT(orders[[#This Row],[Ship Date]],4)</f>
        <v>2014</v>
      </c>
      <c r="F458" s="4" t="s">
        <v>2191</v>
      </c>
      <c r="G458" t="s">
        <v>44</v>
      </c>
      <c r="H458" t="s">
        <v>1473</v>
      </c>
      <c r="I458" t="s">
        <v>1474</v>
      </c>
      <c r="J458" t="s">
        <v>23</v>
      </c>
      <c r="K458" s="5" t="s">
        <v>1887</v>
      </c>
      <c r="L458" s="5" t="str">
        <f t="shared" si="7"/>
        <v>Concord</v>
      </c>
      <c r="M458" t="s">
        <v>37</v>
      </c>
      <c r="N458">
        <v>94521</v>
      </c>
      <c r="O458" t="s">
        <v>38</v>
      </c>
      <c r="P458" t="s">
        <v>1475</v>
      </c>
      <c r="Q458" t="s">
        <v>27</v>
      </c>
      <c r="R458" t="s">
        <v>31</v>
      </c>
      <c r="S458" t="s">
        <v>1476</v>
      </c>
      <c r="T458">
        <v>129.56800000000001</v>
      </c>
      <c r="U458">
        <v>2</v>
      </c>
      <c r="V458">
        <v>0.2</v>
      </c>
      <c r="W458">
        <v>-24.294000000000018</v>
      </c>
    </row>
    <row r="459" spans="1:23" x14ac:dyDescent="0.3">
      <c r="A459">
        <v>458</v>
      </c>
      <c r="B459" t="s">
        <v>1477</v>
      </c>
      <c r="C459" s="2">
        <v>42639</v>
      </c>
      <c r="D459" s="2" t="str">
        <f>LEFT(orders[[#This Row],[Ship Date]],FIND("0",F459)-1)</f>
        <v>1</v>
      </c>
      <c r="E459" s="2" t="str">
        <f>RIGHT(orders[[#This Row],[Ship Date]],4)</f>
        <v>2016</v>
      </c>
      <c r="F459" s="4" t="s">
        <v>2154</v>
      </c>
      <c r="G459" t="s">
        <v>44</v>
      </c>
      <c r="H459" t="s">
        <v>1381</v>
      </c>
      <c r="I459" t="s">
        <v>1382</v>
      </c>
      <c r="J459" t="s">
        <v>23</v>
      </c>
      <c r="K459" s="5" t="s">
        <v>1911</v>
      </c>
      <c r="L459" s="5" t="str">
        <f t="shared" si="7"/>
        <v>Decatur</v>
      </c>
      <c r="M459" t="s">
        <v>192</v>
      </c>
      <c r="N459">
        <v>62521</v>
      </c>
      <c r="O459" t="s">
        <v>95</v>
      </c>
      <c r="P459" t="s">
        <v>1478</v>
      </c>
      <c r="Q459" t="s">
        <v>27</v>
      </c>
      <c r="R459" t="s">
        <v>31</v>
      </c>
      <c r="S459" t="s">
        <v>1479</v>
      </c>
      <c r="T459">
        <v>747.55799999999999</v>
      </c>
      <c r="U459">
        <v>3</v>
      </c>
      <c r="V459">
        <v>0.3</v>
      </c>
      <c r="W459">
        <v>-96.11460000000011</v>
      </c>
    </row>
    <row r="460" spans="1:23" x14ac:dyDescent="0.3">
      <c r="A460">
        <v>459</v>
      </c>
      <c r="B460" t="s">
        <v>1477</v>
      </c>
      <c r="C460" s="2">
        <v>42639</v>
      </c>
      <c r="D460" s="2" t="str">
        <f>LEFT(orders[[#This Row],[Ship Date]],FIND("0",F460)-1)</f>
        <v>1</v>
      </c>
      <c r="E460" s="2" t="str">
        <f>RIGHT(orders[[#This Row],[Ship Date]],4)</f>
        <v>2016</v>
      </c>
      <c r="F460" s="4" t="s">
        <v>2154</v>
      </c>
      <c r="G460" t="s">
        <v>44</v>
      </c>
      <c r="H460" t="s">
        <v>1381</v>
      </c>
      <c r="I460" t="s">
        <v>1382</v>
      </c>
      <c r="J460" t="s">
        <v>23</v>
      </c>
      <c r="K460" s="5" t="s">
        <v>1911</v>
      </c>
      <c r="L460" s="5" t="str">
        <f t="shared" si="7"/>
        <v>Decatur</v>
      </c>
      <c r="M460" t="s">
        <v>192</v>
      </c>
      <c r="N460">
        <v>62521</v>
      </c>
      <c r="O460" t="s">
        <v>95</v>
      </c>
      <c r="P460" t="s">
        <v>1480</v>
      </c>
      <c r="Q460" t="s">
        <v>40</v>
      </c>
      <c r="R460" t="s">
        <v>157</v>
      </c>
      <c r="S460" t="s">
        <v>615</v>
      </c>
      <c r="T460">
        <v>8.9280000000000008</v>
      </c>
      <c r="U460">
        <v>2</v>
      </c>
      <c r="V460">
        <v>0.2</v>
      </c>
      <c r="W460">
        <v>3.3479999999999999</v>
      </c>
    </row>
    <row r="461" spans="1:23" x14ac:dyDescent="0.3">
      <c r="A461">
        <v>460</v>
      </c>
      <c r="B461" t="s">
        <v>1481</v>
      </c>
      <c r="C461" s="2">
        <v>42353</v>
      </c>
      <c r="D461" s="2" t="str">
        <f>LEFT(orders[[#This Row],[Ship Date]],FIND("0",F461)-1)</f>
        <v>12</v>
      </c>
      <c r="E461" s="2" t="str">
        <f>RIGHT(orders[[#This Row],[Ship Date]],4)</f>
        <v>2015</v>
      </c>
      <c r="F461" s="4" t="s">
        <v>2192</v>
      </c>
      <c r="G461" t="s">
        <v>44</v>
      </c>
      <c r="H461" t="s">
        <v>765</v>
      </c>
      <c r="I461" t="s">
        <v>766</v>
      </c>
      <c r="J461" t="s">
        <v>23</v>
      </c>
      <c r="K461" s="5" t="s">
        <v>1888</v>
      </c>
      <c r="L461" s="5" t="str">
        <f t="shared" si="7"/>
        <v>Seattle</v>
      </c>
      <c r="M461" t="s">
        <v>87</v>
      </c>
      <c r="N461">
        <v>98115</v>
      </c>
      <c r="O461" t="s">
        <v>38</v>
      </c>
      <c r="P461" t="s">
        <v>1482</v>
      </c>
      <c r="Q461" t="s">
        <v>40</v>
      </c>
      <c r="R461" t="s">
        <v>71</v>
      </c>
      <c r="S461" t="s">
        <v>1483</v>
      </c>
      <c r="T461">
        <v>103.92</v>
      </c>
      <c r="U461">
        <v>4</v>
      </c>
      <c r="V461">
        <v>0</v>
      </c>
      <c r="W461">
        <v>36.372</v>
      </c>
    </row>
    <row r="462" spans="1:23" x14ac:dyDescent="0.3">
      <c r="A462">
        <v>461</v>
      </c>
      <c r="B462" t="s">
        <v>1481</v>
      </c>
      <c r="C462" s="2">
        <v>42353</v>
      </c>
      <c r="D462" s="2" t="str">
        <f>LEFT(orders[[#This Row],[Ship Date]],FIND("0",F462)-1)</f>
        <v>12</v>
      </c>
      <c r="E462" s="2" t="str">
        <f>RIGHT(orders[[#This Row],[Ship Date]],4)</f>
        <v>2015</v>
      </c>
      <c r="F462" s="4" t="s">
        <v>2192</v>
      </c>
      <c r="G462" t="s">
        <v>44</v>
      </c>
      <c r="H462" t="s">
        <v>765</v>
      </c>
      <c r="I462" t="s">
        <v>766</v>
      </c>
      <c r="J462" t="s">
        <v>23</v>
      </c>
      <c r="K462" s="5" t="s">
        <v>1888</v>
      </c>
      <c r="L462" s="5" t="str">
        <f t="shared" si="7"/>
        <v>Seattle</v>
      </c>
      <c r="M462" t="s">
        <v>87</v>
      </c>
      <c r="N462">
        <v>98115</v>
      </c>
      <c r="O462" t="s">
        <v>38</v>
      </c>
      <c r="P462" t="s">
        <v>1484</v>
      </c>
      <c r="Q462" t="s">
        <v>64</v>
      </c>
      <c r="R462" t="s">
        <v>145</v>
      </c>
      <c r="S462" t="s">
        <v>1485</v>
      </c>
      <c r="T462">
        <v>899.91</v>
      </c>
      <c r="U462">
        <v>9</v>
      </c>
      <c r="V462">
        <v>0</v>
      </c>
      <c r="W462">
        <v>377.96220000000005</v>
      </c>
    </row>
    <row r="463" spans="1:23" x14ac:dyDescent="0.3">
      <c r="A463">
        <v>462</v>
      </c>
      <c r="B463" t="s">
        <v>1481</v>
      </c>
      <c r="C463" s="2">
        <v>42353</v>
      </c>
      <c r="D463" s="2" t="str">
        <f>LEFT(orders[[#This Row],[Ship Date]],FIND("0",F463)-1)</f>
        <v>12</v>
      </c>
      <c r="E463" s="2" t="str">
        <f>RIGHT(orders[[#This Row],[Ship Date]],4)</f>
        <v>2015</v>
      </c>
      <c r="F463" s="4" t="s">
        <v>2192</v>
      </c>
      <c r="G463" t="s">
        <v>44</v>
      </c>
      <c r="H463" t="s">
        <v>765</v>
      </c>
      <c r="I463" t="s">
        <v>766</v>
      </c>
      <c r="J463" t="s">
        <v>23</v>
      </c>
      <c r="K463" s="5" t="s">
        <v>1888</v>
      </c>
      <c r="L463" s="5" t="str">
        <f t="shared" si="7"/>
        <v>Seattle</v>
      </c>
      <c r="M463" t="s">
        <v>87</v>
      </c>
      <c r="N463">
        <v>98115</v>
      </c>
      <c r="O463" t="s">
        <v>38</v>
      </c>
      <c r="P463" t="s">
        <v>1486</v>
      </c>
      <c r="Q463" t="s">
        <v>40</v>
      </c>
      <c r="R463" t="s">
        <v>68</v>
      </c>
      <c r="S463" t="s">
        <v>1487</v>
      </c>
      <c r="T463">
        <v>51.311999999999998</v>
      </c>
      <c r="U463">
        <v>3</v>
      </c>
      <c r="V463">
        <v>0.2</v>
      </c>
      <c r="W463">
        <v>18.600599999999996</v>
      </c>
    </row>
    <row r="464" spans="1:23" x14ac:dyDescent="0.3">
      <c r="A464">
        <v>463</v>
      </c>
      <c r="B464" t="s">
        <v>1488</v>
      </c>
      <c r="C464" s="2">
        <v>42482</v>
      </c>
      <c r="D464" s="2" t="str">
        <f>LEFT(orders[[#This Row],[Ship Date]],FIND("0",F464)-1)</f>
        <v>4</v>
      </c>
      <c r="E464" s="2" t="str">
        <f>RIGHT(orders[[#This Row],[Ship Date]],4)</f>
        <v>2016</v>
      </c>
      <c r="F464" s="4" t="s">
        <v>2137</v>
      </c>
      <c r="G464" t="s">
        <v>44</v>
      </c>
      <c r="H464" t="s">
        <v>1489</v>
      </c>
      <c r="I464" t="s">
        <v>1490</v>
      </c>
      <c r="J464" t="s">
        <v>93</v>
      </c>
      <c r="K464" s="5" t="s">
        <v>1926</v>
      </c>
      <c r="L464" s="5" t="str">
        <f t="shared" si="7"/>
        <v>Phoenix</v>
      </c>
      <c r="M464" t="s">
        <v>282</v>
      </c>
      <c r="N464">
        <v>85023</v>
      </c>
      <c r="O464" t="s">
        <v>38</v>
      </c>
      <c r="P464" t="s">
        <v>1192</v>
      </c>
      <c r="Q464" t="s">
        <v>27</v>
      </c>
      <c r="R464" t="s">
        <v>58</v>
      </c>
      <c r="S464" t="s">
        <v>1193</v>
      </c>
      <c r="T464">
        <v>23.56</v>
      </c>
      <c r="U464">
        <v>5</v>
      </c>
      <c r="V464">
        <v>0.2</v>
      </c>
      <c r="W464">
        <v>7.0680000000000005</v>
      </c>
    </row>
    <row r="465" spans="1:23" x14ac:dyDescent="0.3">
      <c r="A465">
        <v>464</v>
      </c>
      <c r="B465" t="s">
        <v>1488</v>
      </c>
      <c r="C465" s="2">
        <v>42482</v>
      </c>
      <c r="D465" s="2" t="str">
        <f>LEFT(orders[[#This Row],[Ship Date]],FIND("0",F465)-1)</f>
        <v>4</v>
      </c>
      <c r="E465" s="2" t="str">
        <f>RIGHT(orders[[#This Row],[Ship Date]],4)</f>
        <v>2016</v>
      </c>
      <c r="F465" s="4" t="s">
        <v>2137</v>
      </c>
      <c r="G465" t="s">
        <v>44</v>
      </c>
      <c r="H465" t="s">
        <v>1489</v>
      </c>
      <c r="I465" t="s">
        <v>1490</v>
      </c>
      <c r="J465" t="s">
        <v>93</v>
      </c>
      <c r="K465" s="5" t="s">
        <v>1926</v>
      </c>
      <c r="L465" s="5" t="str">
        <f t="shared" si="7"/>
        <v>Phoenix</v>
      </c>
      <c r="M465" t="s">
        <v>282</v>
      </c>
      <c r="N465">
        <v>85023</v>
      </c>
      <c r="O465" t="s">
        <v>38</v>
      </c>
      <c r="P465" t="s">
        <v>1491</v>
      </c>
      <c r="Q465" t="s">
        <v>27</v>
      </c>
      <c r="R465" t="s">
        <v>49</v>
      </c>
      <c r="S465" t="s">
        <v>1492</v>
      </c>
      <c r="T465">
        <v>1272.6299999999999</v>
      </c>
      <c r="U465">
        <v>6</v>
      </c>
      <c r="V465">
        <v>0.5</v>
      </c>
      <c r="W465">
        <v>-814.4831999999999</v>
      </c>
    </row>
    <row r="466" spans="1:23" x14ac:dyDescent="0.3">
      <c r="A466">
        <v>465</v>
      </c>
      <c r="B466" t="s">
        <v>1488</v>
      </c>
      <c r="C466" s="2">
        <v>42482</v>
      </c>
      <c r="D466" s="2" t="str">
        <f>LEFT(orders[[#This Row],[Ship Date]],FIND("0",F466)-1)</f>
        <v>4</v>
      </c>
      <c r="E466" s="2" t="str">
        <f>RIGHT(orders[[#This Row],[Ship Date]],4)</f>
        <v>2016</v>
      </c>
      <c r="F466" s="4" t="s">
        <v>2137</v>
      </c>
      <c r="G466" t="s">
        <v>44</v>
      </c>
      <c r="H466" t="s">
        <v>1489</v>
      </c>
      <c r="I466" t="s">
        <v>1490</v>
      </c>
      <c r="J466" t="s">
        <v>93</v>
      </c>
      <c r="K466" s="5" t="s">
        <v>1926</v>
      </c>
      <c r="L466" s="5" t="str">
        <f t="shared" si="7"/>
        <v>Phoenix</v>
      </c>
      <c r="M466" t="s">
        <v>282</v>
      </c>
      <c r="N466">
        <v>85023</v>
      </c>
      <c r="O466" t="s">
        <v>38</v>
      </c>
      <c r="P466" t="s">
        <v>1493</v>
      </c>
      <c r="Q466" t="s">
        <v>40</v>
      </c>
      <c r="R466" t="s">
        <v>68</v>
      </c>
      <c r="S466" t="s">
        <v>1494</v>
      </c>
      <c r="T466">
        <v>28.484999999999999</v>
      </c>
      <c r="U466">
        <v>5</v>
      </c>
      <c r="V466">
        <v>0.7</v>
      </c>
      <c r="W466">
        <v>-20.888999999999989</v>
      </c>
    </row>
    <row r="467" spans="1:23" x14ac:dyDescent="0.3">
      <c r="A467">
        <v>466</v>
      </c>
      <c r="B467" t="s">
        <v>1488</v>
      </c>
      <c r="C467" s="2">
        <v>42482</v>
      </c>
      <c r="D467" s="2" t="str">
        <f>LEFT(orders[[#This Row],[Ship Date]],FIND("0",F467)-1)</f>
        <v>4</v>
      </c>
      <c r="E467" s="2" t="str">
        <f>RIGHT(orders[[#This Row],[Ship Date]],4)</f>
        <v>2016</v>
      </c>
      <c r="F467" s="4" t="s">
        <v>2137</v>
      </c>
      <c r="G467" t="s">
        <v>44</v>
      </c>
      <c r="H467" t="s">
        <v>1489</v>
      </c>
      <c r="I467" t="s">
        <v>1490</v>
      </c>
      <c r="J467" t="s">
        <v>93</v>
      </c>
      <c r="K467" s="5" t="s">
        <v>1926</v>
      </c>
      <c r="L467" s="5" t="str">
        <f t="shared" si="7"/>
        <v>Phoenix</v>
      </c>
      <c r="M467" t="s">
        <v>282</v>
      </c>
      <c r="N467">
        <v>85023</v>
      </c>
      <c r="O467" t="s">
        <v>38</v>
      </c>
      <c r="P467" t="s">
        <v>1495</v>
      </c>
      <c r="Q467" t="s">
        <v>40</v>
      </c>
      <c r="R467" t="s">
        <v>531</v>
      </c>
      <c r="S467" t="s">
        <v>1496</v>
      </c>
      <c r="T467">
        <v>185.376</v>
      </c>
      <c r="U467">
        <v>2</v>
      </c>
      <c r="V467">
        <v>0.2</v>
      </c>
      <c r="W467">
        <v>-34.758000000000017</v>
      </c>
    </row>
    <row r="468" spans="1:23" x14ac:dyDescent="0.3">
      <c r="A468">
        <v>467</v>
      </c>
      <c r="B468" t="s">
        <v>1488</v>
      </c>
      <c r="C468" s="2">
        <v>42482</v>
      </c>
      <c r="D468" s="2" t="str">
        <f>LEFT(orders[[#This Row],[Ship Date]],FIND("0",F468)-1)</f>
        <v>4</v>
      </c>
      <c r="E468" s="2" t="str">
        <f>RIGHT(orders[[#This Row],[Ship Date]],4)</f>
        <v>2016</v>
      </c>
      <c r="F468" s="4" t="s">
        <v>2137</v>
      </c>
      <c r="G468" t="s">
        <v>44</v>
      </c>
      <c r="H468" t="s">
        <v>1489</v>
      </c>
      <c r="I468" t="s">
        <v>1490</v>
      </c>
      <c r="J468" t="s">
        <v>93</v>
      </c>
      <c r="K468" s="5" t="s">
        <v>1926</v>
      </c>
      <c r="L468" s="5" t="str">
        <f t="shared" si="7"/>
        <v>Phoenix</v>
      </c>
      <c r="M468" t="s">
        <v>282</v>
      </c>
      <c r="N468">
        <v>85023</v>
      </c>
      <c r="O468" t="s">
        <v>38</v>
      </c>
      <c r="P468" t="s">
        <v>1497</v>
      </c>
      <c r="Q468" t="s">
        <v>40</v>
      </c>
      <c r="R468" t="s">
        <v>71</v>
      </c>
      <c r="S468" t="s">
        <v>1498</v>
      </c>
      <c r="T468">
        <v>78.272000000000006</v>
      </c>
      <c r="U468">
        <v>2</v>
      </c>
      <c r="V468">
        <v>0.2</v>
      </c>
      <c r="W468">
        <v>5.8704000000000001</v>
      </c>
    </row>
    <row r="469" spans="1:23" x14ac:dyDescent="0.3">
      <c r="A469">
        <v>468</v>
      </c>
      <c r="B469" t="s">
        <v>1499</v>
      </c>
      <c r="C469" s="2">
        <v>42021</v>
      </c>
      <c r="D469" s="2" t="str">
        <f>LEFT(orders[[#This Row],[Ship Date]],FIND("0",F469)-1)</f>
        <v>1</v>
      </c>
      <c r="E469" s="2" t="str">
        <f>RIGHT(orders[[#This Row],[Ship Date]],4)</f>
        <v>2015</v>
      </c>
      <c r="F469" s="4" t="s">
        <v>2193</v>
      </c>
      <c r="G469" t="s">
        <v>44</v>
      </c>
      <c r="H469" t="s">
        <v>1500</v>
      </c>
      <c r="I469" t="s">
        <v>1501</v>
      </c>
      <c r="J469" t="s">
        <v>93</v>
      </c>
      <c r="K469" s="5" t="s">
        <v>1995</v>
      </c>
      <c r="L469" s="5" t="str">
        <f t="shared" si="7"/>
        <v>Park Ridge</v>
      </c>
      <c r="M469" t="s">
        <v>192</v>
      </c>
      <c r="N469">
        <v>60068</v>
      </c>
      <c r="O469" t="s">
        <v>95</v>
      </c>
      <c r="P469" t="s">
        <v>1007</v>
      </c>
      <c r="Q469" t="s">
        <v>27</v>
      </c>
      <c r="R469" t="s">
        <v>58</v>
      </c>
      <c r="S469" t="s">
        <v>1008</v>
      </c>
      <c r="T469">
        <v>254.74400000000003</v>
      </c>
      <c r="U469">
        <v>7</v>
      </c>
      <c r="V469">
        <v>0.6</v>
      </c>
      <c r="W469">
        <v>-312.06139999999994</v>
      </c>
    </row>
    <row r="470" spans="1:23" x14ac:dyDescent="0.3">
      <c r="A470">
        <v>469</v>
      </c>
      <c r="B470" t="s">
        <v>1502</v>
      </c>
      <c r="C470" s="2">
        <v>42825</v>
      </c>
      <c r="D470" s="2" t="str">
        <f>LEFT(orders[[#This Row],[Ship Date]],FIND("0",F470)-1)</f>
        <v>4</v>
      </c>
      <c r="E470" s="2" t="str">
        <f>RIGHT(orders[[#This Row],[Ship Date]],4)</f>
        <v>2017</v>
      </c>
      <c r="F470" s="4" t="s">
        <v>2194</v>
      </c>
      <c r="G470" t="s">
        <v>44</v>
      </c>
      <c r="H470" t="s">
        <v>810</v>
      </c>
      <c r="I470" t="s">
        <v>811</v>
      </c>
      <c r="J470" t="s">
        <v>36</v>
      </c>
      <c r="K470" s="5" t="s">
        <v>1996</v>
      </c>
      <c r="L470" s="5" t="str">
        <f t="shared" si="7"/>
        <v>Amarillo</v>
      </c>
      <c r="M470" t="s">
        <v>94</v>
      </c>
      <c r="N470">
        <v>79109</v>
      </c>
      <c r="O470" t="s">
        <v>95</v>
      </c>
      <c r="P470" t="s">
        <v>1503</v>
      </c>
      <c r="Q470" t="s">
        <v>27</v>
      </c>
      <c r="R470" t="s">
        <v>28</v>
      </c>
      <c r="S470" t="s">
        <v>1504</v>
      </c>
      <c r="T470">
        <v>205.33279999999996</v>
      </c>
      <c r="U470">
        <v>2</v>
      </c>
      <c r="V470">
        <v>0.32</v>
      </c>
      <c r="W470">
        <v>-36.235200000000006</v>
      </c>
    </row>
    <row r="471" spans="1:23" x14ac:dyDescent="0.3">
      <c r="A471">
        <v>470</v>
      </c>
      <c r="B471" t="s">
        <v>1505</v>
      </c>
      <c r="C471" s="2">
        <v>42720</v>
      </c>
      <c r="D471" s="2" t="str">
        <f>LEFT(orders[[#This Row],[Ship Date]],FIND("0",F471)-1)</f>
        <v>12</v>
      </c>
      <c r="E471" s="2" t="str">
        <f>RIGHT(orders[[#This Row],[Ship Date]],4)</f>
        <v>2016</v>
      </c>
      <c r="F471" s="4" t="s">
        <v>2122</v>
      </c>
      <c r="G471" t="s">
        <v>20</v>
      </c>
      <c r="H471" t="s">
        <v>893</v>
      </c>
      <c r="I471" t="s">
        <v>894</v>
      </c>
      <c r="J471" t="s">
        <v>23</v>
      </c>
      <c r="K471" s="5" t="s">
        <v>1906</v>
      </c>
      <c r="L471" s="5" t="str">
        <f t="shared" si="7"/>
        <v>Chicago</v>
      </c>
      <c r="M471" t="s">
        <v>192</v>
      </c>
      <c r="N471">
        <v>60610</v>
      </c>
      <c r="O471" t="s">
        <v>95</v>
      </c>
      <c r="P471" t="s">
        <v>1506</v>
      </c>
      <c r="Q471" t="s">
        <v>40</v>
      </c>
      <c r="R471" t="s">
        <v>68</v>
      </c>
      <c r="S471" t="s">
        <v>1507</v>
      </c>
      <c r="T471">
        <v>4.7879999999999985</v>
      </c>
      <c r="U471">
        <v>3</v>
      </c>
      <c r="V471">
        <v>0.8</v>
      </c>
      <c r="W471">
        <v>-7.9001999999999999</v>
      </c>
    </row>
    <row r="472" spans="1:23" x14ac:dyDescent="0.3">
      <c r="A472">
        <v>471</v>
      </c>
      <c r="B472" t="s">
        <v>1508</v>
      </c>
      <c r="C472" s="2">
        <v>42358</v>
      </c>
      <c r="D472" s="2" t="str">
        <f>LEFT(orders[[#This Row],[Ship Date]],FIND("0",F472)-1)</f>
        <v>12</v>
      </c>
      <c r="E472" s="2" t="str">
        <f>RIGHT(orders[[#This Row],[Ship Date]],4)</f>
        <v>2015</v>
      </c>
      <c r="F472" s="4" t="s">
        <v>2142</v>
      </c>
      <c r="G472" t="s">
        <v>44</v>
      </c>
      <c r="H472" t="s">
        <v>1509</v>
      </c>
      <c r="I472" t="s">
        <v>1510</v>
      </c>
      <c r="J472" t="s">
        <v>36</v>
      </c>
      <c r="K472" s="5" t="s">
        <v>1997</v>
      </c>
      <c r="L472" s="5" t="str">
        <f t="shared" si="7"/>
        <v>Lindenhurst</v>
      </c>
      <c r="M472" t="s">
        <v>242</v>
      </c>
      <c r="N472">
        <v>11757</v>
      </c>
      <c r="O472" t="s">
        <v>133</v>
      </c>
      <c r="P472" t="s">
        <v>1511</v>
      </c>
      <c r="Q472" t="s">
        <v>40</v>
      </c>
      <c r="R472" t="s">
        <v>82</v>
      </c>
      <c r="S472" t="s">
        <v>1512</v>
      </c>
      <c r="T472">
        <v>55.48</v>
      </c>
      <c r="U472">
        <v>1</v>
      </c>
      <c r="V472">
        <v>0</v>
      </c>
      <c r="W472">
        <v>26.630399999999998</v>
      </c>
    </row>
    <row r="473" spans="1:23" x14ac:dyDescent="0.3">
      <c r="A473">
        <v>472</v>
      </c>
      <c r="B473" t="s">
        <v>1513</v>
      </c>
      <c r="C473" s="2">
        <v>41952</v>
      </c>
      <c r="D473" s="2" t="str">
        <f>LEFT(orders[[#This Row],[Ship Date]],FIND("0",F473)-1)</f>
        <v>11</v>
      </c>
      <c r="E473" s="2" t="str">
        <f>RIGHT(orders[[#This Row],[Ship Date]],4)</f>
        <v>2014</v>
      </c>
      <c r="F473" s="4" t="s">
        <v>2195</v>
      </c>
      <c r="G473" t="s">
        <v>20</v>
      </c>
      <c r="H473" t="s">
        <v>1514</v>
      </c>
      <c r="I473" t="s">
        <v>1515</v>
      </c>
      <c r="J473" t="s">
        <v>23</v>
      </c>
      <c r="K473" s="5" t="s">
        <v>1892</v>
      </c>
      <c r="L473" s="5" t="str">
        <f t="shared" si="7"/>
        <v>San Francisco</v>
      </c>
      <c r="M473" t="s">
        <v>37</v>
      </c>
      <c r="N473">
        <v>94110</v>
      </c>
      <c r="O473" t="s">
        <v>38</v>
      </c>
      <c r="P473" t="s">
        <v>1516</v>
      </c>
      <c r="Q473" t="s">
        <v>40</v>
      </c>
      <c r="R473" t="s">
        <v>52</v>
      </c>
      <c r="S473" t="s">
        <v>1517</v>
      </c>
      <c r="T473">
        <v>340.92</v>
      </c>
      <c r="U473">
        <v>3</v>
      </c>
      <c r="V473">
        <v>0</v>
      </c>
      <c r="W473">
        <v>3.4091999999999842</v>
      </c>
    </row>
    <row r="474" spans="1:23" x14ac:dyDescent="0.3">
      <c r="A474">
        <v>473</v>
      </c>
      <c r="B474" t="s">
        <v>1513</v>
      </c>
      <c r="C474" s="2">
        <v>41952</v>
      </c>
      <c r="D474" s="2" t="str">
        <f>LEFT(orders[[#This Row],[Ship Date]],FIND("0",F474)-1)</f>
        <v>11</v>
      </c>
      <c r="E474" s="2" t="str">
        <f>RIGHT(orders[[#This Row],[Ship Date]],4)</f>
        <v>2014</v>
      </c>
      <c r="F474" s="4" t="s">
        <v>2195</v>
      </c>
      <c r="G474" t="s">
        <v>20</v>
      </c>
      <c r="H474" t="s">
        <v>1514</v>
      </c>
      <c r="I474" t="s">
        <v>1515</v>
      </c>
      <c r="J474" t="s">
        <v>23</v>
      </c>
      <c r="K474" s="5" t="s">
        <v>1892</v>
      </c>
      <c r="L474" s="5" t="str">
        <f t="shared" si="7"/>
        <v>San Francisco</v>
      </c>
      <c r="M474" t="s">
        <v>37</v>
      </c>
      <c r="N474">
        <v>94110</v>
      </c>
      <c r="O474" t="s">
        <v>38</v>
      </c>
      <c r="P474" t="s">
        <v>1518</v>
      </c>
      <c r="Q474" t="s">
        <v>27</v>
      </c>
      <c r="R474" t="s">
        <v>28</v>
      </c>
      <c r="S474" t="s">
        <v>1519</v>
      </c>
      <c r="T474">
        <v>222.66599999999997</v>
      </c>
      <c r="U474">
        <v>2</v>
      </c>
      <c r="V474">
        <v>0.15</v>
      </c>
      <c r="W474">
        <v>10.478399999999979</v>
      </c>
    </row>
    <row r="475" spans="1:23" x14ac:dyDescent="0.3">
      <c r="A475">
        <v>474</v>
      </c>
      <c r="B475" t="s">
        <v>1513</v>
      </c>
      <c r="C475" s="2">
        <v>41952</v>
      </c>
      <c r="D475" s="2" t="str">
        <f>LEFT(orders[[#This Row],[Ship Date]],FIND("0",F475)-1)</f>
        <v>11</v>
      </c>
      <c r="E475" s="2" t="str">
        <f>RIGHT(orders[[#This Row],[Ship Date]],4)</f>
        <v>2014</v>
      </c>
      <c r="F475" s="4" t="s">
        <v>2195</v>
      </c>
      <c r="G475" t="s">
        <v>20</v>
      </c>
      <c r="H475" t="s">
        <v>1514</v>
      </c>
      <c r="I475" t="s">
        <v>1515</v>
      </c>
      <c r="J475" t="s">
        <v>23</v>
      </c>
      <c r="K475" s="5" t="s">
        <v>1892</v>
      </c>
      <c r="L475" s="5" t="str">
        <f t="shared" si="7"/>
        <v>San Francisco</v>
      </c>
      <c r="M475" t="s">
        <v>37</v>
      </c>
      <c r="N475">
        <v>94110</v>
      </c>
      <c r="O475" t="s">
        <v>38</v>
      </c>
      <c r="P475" t="s">
        <v>1520</v>
      </c>
      <c r="Q475" t="s">
        <v>64</v>
      </c>
      <c r="R475" t="s">
        <v>65</v>
      </c>
      <c r="S475" t="s">
        <v>1521</v>
      </c>
      <c r="T475">
        <v>703.96800000000007</v>
      </c>
      <c r="U475">
        <v>4</v>
      </c>
      <c r="V475">
        <v>0.2</v>
      </c>
      <c r="W475">
        <v>87.995999999999924</v>
      </c>
    </row>
    <row r="476" spans="1:23" x14ac:dyDescent="0.3">
      <c r="A476">
        <v>475</v>
      </c>
      <c r="B476" t="s">
        <v>1513</v>
      </c>
      <c r="C476" s="2">
        <v>41952</v>
      </c>
      <c r="D476" s="2" t="str">
        <f>LEFT(orders[[#This Row],[Ship Date]],FIND("0",F476)-1)</f>
        <v>11</v>
      </c>
      <c r="E476" s="2" t="str">
        <f>RIGHT(orders[[#This Row],[Ship Date]],4)</f>
        <v>2014</v>
      </c>
      <c r="F476" s="4" t="s">
        <v>2195</v>
      </c>
      <c r="G476" t="s">
        <v>20</v>
      </c>
      <c r="H476" t="s">
        <v>1514</v>
      </c>
      <c r="I476" t="s">
        <v>1515</v>
      </c>
      <c r="J476" t="s">
        <v>23</v>
      </c>
      <c r="K476" s="5" t="s">
        <v>1892</v>
      </c>
      <c r="L476" s="5" t="str">
        <f t="shared" si="7"/>
        <v>San Francisco</v>
      </c>
      <c r="M476" t="s">
        <v>37</v>
      </c>
      <c r="N476">
        <v>94110</v>
      </c>
      <c r="O476" t="s">
        <v>38</v>
      </c>
      <c r="P476" t="s">
        <v>1522</v>
      </c>
      <c r="Q476" t="s">
        <v>40</v>
      </c>
      <c r="R476" t="s">
        <v>52</v>
      </c>
      <c r="S476" t="s">
        <v>1523</v>
      </c>
      <c r="T476">
        <v>92.52</v>
      </c>
      <c r="U476">
        <v>6</v>
      </c>
      <c r="V476">
        <v>0</v>
      </c>
      <c r="W476">
        <v>24.980400000000007</v>
      </c>
    </row>
    <row r="477" spans="1:23" x14ac:dyDescent="0.3">
      <c r="A477">
        <v>476</v>
      </c>
      <c r="B477" t="s">
        <v>1513</v>
      </c>
      <c r="C477" s="2">
        <v>41952</v>
      </c>
      <c r="D477" s="2" t="str">
        <f>LEFT(orders[[#This Row],[Ship Date]],FIND("0",F477)-1)</f>
        <v>11</v>
      </c>
      <c r="E477" s="2" t="str">
        <f>RIGHT(orders[[#This Row],[Ship Date]],4)</f>
        <v>2014</v>
      </c>
      <c r="F477" s="4" t="s">
        <v>2195</v>
      </c>
      <c r="G477" t="s">
        <v>20</v>
      </c>
      <c r="H477" t="s">
        <v>1514</v>
      </c>
      <c r="I477" t="s">
        <v>1515</v>
      </c>
      <c r="J477" t="s">
        <v>23</v>
      </c>
      <c r="K477" s="5" t="s">
        <v>1892</v>
      </c>
      <c r="L477" s="5" t="str">
        <f t="shared" si="7"/>
        <v>San Francisco</v>
      </c>
      <c r="M477" t="s">
        <v>37</v>
      </c>
      <c r="N477">
        <v>94110</v>
      </c>
      <c r="O477" t="s">
        <v>38</v>
      </c>
      <c r="P477" t="s">
        <v>1524</v>
      </c>
      <c r="Q477" t="s">
        <v>40</v>
      </c>
      <c r="R477" t="s">
        <v>82</v>
      </c>
      <c r="S477" t="s">
        <v>1525</v>
      </c>
      <c r="T477">
        <v>62.649999999999991</v>
      </c>
      <c r="U477">
        <v>7</v>
      </c>
      <c r="V477">
        <v>0</v>
      </c>
      <c r="W477">
        <v>28.818999999999996</v>
      </c>
    </row>
    <row r="478" spans="1:23" x14ac:dyDescent="0.3">
      <c r="A478">
        <v>477</v>
      </c>
      <c r="B478" t="s">
        <v>1513</v>
      </c>
      <c r="C478" s="2">
        <v>41952</v>
      </c>
      <c r="D478" s="2" t="str">
        <f>LEFT(orders[[#This Row],[Ship Date]],FIND("0",F478)-1)</f>
        <v>11</v>
      </c>
      <c r="E478" s="2" t="str">
        <f>RIGHT(orders[[#This Row],[Ship Date]],4)</f>
        <v>2014</v>
      </c>
      <c r="F478" s="4" t="s">
        <v>2195</v>
      </c>
      <c r="G478" t="s">
        <v>20</v>
      </c>
      <c r="H478" t="s">
        <v>1514</v>
      </c>
      <c r="I478" t="s">
        <v>1515</v>
      </c>
      <c r="J478" t="s">
        <v>23</v>
      </c>
      <c r="K478" s="5" t="s">
        <v>1892</v>
      </c>
      <c r="L478" s="5" t="str">
        <f t="shared" si="7"/>
        <v>San Francisco</v>
      </c>
      <c r="M478" t="s">
        <v>37</v>
      </c>
      <c r="N478">
        <v>94110</v>
      </c>
      <c r="O478" t="s">
        <v>38</v>
      </c>
      <c r="P478" t="s">
        <v>1526</v>
      </c>
      <c r="Q478" t="s">
        <v>40</v>
      </c>
      <c r="R478" t="s">
        <v>82</v>
      </c>
      <c r="S478" t="s">
        <v>1527</v>
      </c>
      <c r="T478">
        <v>94.85</v>
      </c>
      <c r="U478">
        <v>5</v>
      </c>
      <c r="V478">
        <v>0</v>
      </c>
      <c r="W478">
        <v>45.527999999999992</v>
      </c>
    </row>
    <row r="479" spans="1:23" x14ac:dyDescent="0.3">
      <c r="A479">
        <v>478</v>
      </c>
      <c r="B479" t="s">
        <v>1528</v>
      </c>
      <c r="C479" s="2">
        <v>42563</v>
      </c>
      <c r="D479" s="2" t="str">
        <f>LEFT(orders[[#This Row],[Ship Date]],FIND("0",F479)-1)</f>
        <v>7</v>
      </c>
      <c r="E479" s="2" t="str">
        <f>RIGHT(orders[[#This Row],[Ship Date]],4)</f>
        <v>2016</v>
      </c>
      <c r="F479" s="4" t="s">
        <v>2196</v>
      </c>
      <c r="G479" t="s">
        <v>44</v>
      </c>
      <c r="H479" t="s">
        <v>937</v>
      </c>
      <c r="I479" t="s">
        <v>938</v>
      </c>
      <c r="J479" t="s">
        <v>36</v>
      </c>
      <c r="K479" s="5" t="s">
        <v>1885</v>
      </c>
      <c r="L479" s="5" t="str">
        <f t="shared" si="7"/>
        <v>Los Angeles</v>
      </c>
      <c r="M479" t="s">
        <v>37</v>
      </c>
      <c r="N479">
        <v>90008</v>
      </c>
      <c r="O479" t="s">
        <v>38</v>
      </c>
      <c r="P479" t="s">
        <v>1529</v>
      </c>
      <c r="Q479" t="s">
        <v>64</v>
      </c>
      <c r="R479" t="s">
        <v>65</v>
      </c>
      <c r="S479" t="s">
        <v>1530</v>
      </c>
      <c r="T479">
        <v>95.76</v>
      </c>
      <c r="U479">
        <v>6</v>
      </c>
      <c r="V479">
        <v>0.2</v>
      </c>
      <c r="W479">
        <v>7.1819999999999951</v>
      </c>
    </row>
    <row r="480" spans="1:23" x14ac:dyDescent="0.3">
      <c r="A480">
        <v>479</v>
      </c>
      <c r="B480" t="s">
        <v>1531</v>
      </c>
      <c r="C480" s="2">
        <v>42670</v>
      </c>
      <c r="D480" s="2" t="str">
        <f>LEFT(orders[[#This Row],[Ship Date]],FIND("0",F480)-1)</f>
        <v>11</v>
      </c>
      <c r="E480" s="2" t="str">
        <f>RIGHT(orders[[#This Row],[Ship Date]],4)</f>
        <v>2016</v>
      </c>
      <c r="F480" s="4" t="s">
        <v>2197</v>
      </c>
      <c r="G480" t="s">
        <v>44</v>
      </c>
      <c r="H480" t="s">
        <v>1532</v>
      </c>
      <c r="I480" t="s">
        <v>1533</v>
      </c>
      <c r="J480" t="s">
        <v>23</v>
      </c>
      <c r="K480" s="5" t="s">
        <v>1905</v>
      </c>
      <c r="L480" s="5" t="str">
        <f t="shared" si="7"/>
        <v>Troy</v>
      </c>
      <c r="M480" t="s">
        <v>242</v>
      </c>
      <c r="N480">
        <v>12180</v>
      </c>
      <c r="O480" t="s">
        <v>133</v>
      </c>
      <c r="P480" t="s">
        <v>1030</v>
      </c>
      <c r="Q480" t="s">
        <v>27</v>
      </c>
      <c r="R480" t="s">
        <v>58</v>
      </c>
      <c r="S480" t="s">
        <v>1031</v>
      </c>
      <c r="T480">
        <v>40.200000000000003</v>
      </c>
      <c r="U480">
        <v>3</v>
      </c>
      <c r="V480">
        <v>0</v>
      </c>
      <c r="W480">
        <v>19.295999999999999</v>
      </c>
    </row>
    <row r="481" spans="1:23" x14ac:dyDescent="0.3">
      <c r="A481">
        <v>480</v>
      </c>
      <c r="B481" t="s">
        <v>1534</v>
      </c>
      <c r="C481" s="2">
        <v>42547</v>
      </c>
      <c r="D481" s="2" t="str">
        <f>LEFT(orders[[#This Row],[Ship Date]],FIND("0",F481)-1)</f>
        <v>7</v>
      </c>
      <c r="E481" s="2" t="str">
        <f>RIGHT(orders[[#This Row],[Ship Date]],4)</f>
        <v>2016</v>
      </c>
      <c r="F481" s="4" t="s">
        <v>2198</v>
      </c>
      <c r="G481" t="s">
        <v>44</v>
      </c>
      <c r="H481" t="s">
        <v>1535</v>
      </c>
      <c r="I481" t="s">
        <v>1536</v>
      </c>
      <c r="J481" t="s">
        <v>36</v>
      </c>
      <c r="K481" s="5" t="s">
        <v>1904</v>
      </c>
      <c r="L481" s="5" t="str">
        <f t="shared" si="7"/>
        <v>New York City</v>
      </c>
      <c r="M481" t="s">
        <v>242</v>
      </c>
      <c r="N481">
        <v>10024</v>
      </c>
      <c r="O481" t="s">
        <v>133</v>
      </c>
      <c r="P481" t="s">
        <v>1537</v>
      </c>
      <c r="Q481" t="s">
        <v>40</v>
      </c>
      <c r="R481" t="s">
        <v>61</v>
      </c>
      <c r="S481" t="s">
        <v>1538</v>
      </c>
      <c r="T481">
        <v>14.7</v>
      </c>
      <c r="U481">
        <v>5</v>
      </c>
      <c r="V481">
        <v>0</v>
      </c>
      <c r="W481">
        <v>6.6150000000000002</v>
      </c>
    </row>
    <row r="482" spans="1:23" x14ac:dyDescent="0.3">
      <c r="A482">
        <v>481</v>
      </c>
      <c r="B482" t="s">
        <v>1534</v>
      </c>
      <c r="C482" s="2">
        <v>42547</v>
      </c>
      <c r="D482" s="2" t="str">
        <f>LEFT(orders[[#This Row],[Ship Date]],FIND("0",F482)-1)</f>
        <v>7</v>
      </c>
      <c r="E482" s="2" t="str">
        <f>RIGHT(orders[[#This Row],[Ship Date]],4)</f>
        <v>2016</v>
      </c>
      <c r="F482" s="4" t="s">
        <v>2198</v>
      </c>
      <c r="G482" t="s">
        <v>44</v>
      </c>
      <c r="H482" t="s">
        <v>1535</v>
      </c>
      <c r="I482" t="s">
        <v>1536</v>
      </c>
      <c r="J482" t="s">
        <v>36</v>
      </c>
      <c r="K482" s="5" t="s">
        <v>1904</v>
      </c>
      <c r="L482" s="5" t="str">
        <f t="shared" si="7"/>
        <v>New York City</v>
      </c>
      <c r="M482" t="s">
        <v>242</v>
      </c>
      <c r="N482">
        <v>10024</v>
      </c>
      <c r="O482" t="s">
        <v>133</v>
      </c>
      <c r="P482" t="s">
        <v>1539</v>
      </c>
      <c r="Q482" t="s">
        <v>40</v>
      </c>
      <c r="R482" t="s">
        <v>52</v>
      </c>
      <c r="S482" t="s">
        <v>1540</v>
      </c>
      <c r="T482">
        <v>704.25</v>
      </c>
      <c r="U482">
        <v>5</v>
      </c>
      <c r="V482">
        <v>0</v>
      </c>
      <c r="W482">
        <v>84.51</v>
      </c>
    </row>
    <row r="483" spans="1:23" x14ac:dyDescent="0.3">
      <c r="A483">
        <v>482</v>
      </c>
      <c r="B483" t="s">
        <v>1541</v>
      </c>
      <c r="C483" s="2">
        <v>41918</v>
      </c>
      <c r="D483" s="2" t="str">
        <f>LEFT(orders[[#This Row],[Ship Date]],FIND("0",F483)-1)</f>
        <v>1</v>
      </c>
      <c r="E483" s="2" t="str">
        <f>RIGHT(orders[[#This Row],[Ship Date]],4)</f>
        <v>2014</v>
      </c>
      <c r="F483" s="4" t="s">
        <v>2199</v>
      </c>
      <c r="G483" t="s">
        <v>44</v>
      </c>
      <c r="H483" t="s">
        <v>1542</v>
      </c>
      <c r="I483" t="s">
        <v>1543</v>
      </c>
      <c r="J483" t="s">
        <v>23</v>
      </c>
      <c r="K483" s="5" t="s">
        <v>1954</v>
      </c>
      <c r="L483" s="5" t="str">
        <f t="shared" si="7"/>
        <v>San Diego</v>
      </c>
      <c r="M483" t="s">
        <v>37</v>
      </c>
      <c r="N483">
        <v>92024</v>
      </c>
      <c r="O483" t="s">
        <v>38</v>
      </c>
      <c r="P483" t="s">
        <v>1544</v>
      </c>
      <c r="Q483" t="s">
        <v>64</v>
      </c>
      <c r="R483" t="s">
        <v>145</v>
      </c>
      <c r="S483" t="s">
        <v>1545</v>
      </c>
      <c r="T483">
        <v>9.09</v>
      </c>
      <c r="U483">
        <v>3</v>
      </c>
      <c r="V483">
        <v>0</v>
      </c>
      <c r="W483">
        <v>1.9088999999999996</v>
      </c>
    </row>
    <row r="484" spans="1:23" x14ac:dyDescent="0.3">
      <c r="A484">
        <v>483</v>
      </c>
      <c r="B484" t="s">
        <v>1546</v>
      </c>
      <c r="C484" s="2">
        <v>41842</v>
      </c>
      <c r="D484" s="2" t="str">
        <f>LEFT(orders[[#This Row],[Ship Date]],FIND("0",F484)-1)</f>
        <v>7</v>
      </c>
      <c r="E484" s="2" t="str">
        <f>RIGHT(orders[[#This Row],[Ship Date]],4)</f>
        <v>2014</v>
      </c>
      <c r="F484" s="4" t="s">
        <v>2153</v>
      </c>
      <c r="G484" t="s">
        <v>44</v>
      </c>
      <c r="H484" t="s">
        <v>1547</v>
      </c>
      <c r="I484" t="s">
        <v>1548</v>
      </c>
      <c r="J484" t="s">
        <v>23</v>
      </c>
      <c r="K484" s="5" t="s">
        <v>1904</v>
      </c>
      <c r="L484" s="5" t="str">
        <f t="shared" si="7"/>
        <v>New York City</v>
      </c>
      <c r="M484" t="s">
        <v>242</v>
      </c>
      <c r="N484">
        <v>10024</v>
      </c>
      <c r="O484" t="s">
        <v>133</v>
      </c>
      <c r="P484" t="s">
        <v>334</v>
      </c>
      <c r="Q484" t="s">
        <v>40</v>
      </c>
      <c r="R484" t="s">
        <v>61</v>
      </c>
      <c r="S484" t="s">
        <v>335</v>
      </c>
      <c r="T484">
        <v>5.96</v>
      </c>
      <c r="U484">
        <v>2</v>
      </c>
      <c r="V484">
        <v>0</v>
      </c>
      <c r="W484">
        <v>1.6688000000000001</v>
      </c>
    </row>
    <row r="485" spans="1:23" x14ac:dyDescent="0.3">
      <c r="A485">
        <v>484</v>
      </c>
      <c r="B485" t="s">
        <v>1546</v>
      </c>
      <c r="C485" s="2">
        <v>41842</v>
      </c>
      <c r="D485" s="2" t="str">
        <f>LEFT(orders[[#This Row],[Ship Date]],FIND("0",F485)-1)</f>
        <v>7</v>
      </c>
      <c r="E485" s="2" t="str">
        <f>RIGHT(orders[[#This Row],[Ship Date]],4)</f>
        <v>2014</v>
      </c>
      <c r="F485" s="4" t="s">
        <v>2153</v>
      </c>
      <c r="G485" t="s">
        <v>44</v>
      </c>
      <c r="H485" t="s">
        <v>1547</v>
      </c>
      <c r="I485" t="s">
        <v>1548</v>
      </c>
      <c r="J485" t="s">
        <v>23</v>
      </c>
      <c r="K485" s="5" t="s">
        <v>1904</v>
      </c>
      <c r="L485" s="5" t="str">
        <f t="shared" si="7"/>
        <v>New York City</v>
      </c>
      <c r="M485" t="s">
        <v>242</v>
      </c>
      <c r="N485">
        <v>10024</v>
      </c>
      <c r="O485" t="s">
        <v>133</v>
      </c>
      <c r="P485" t="s">
        <v>1549</v>
      </c>
      <c r="Q485" t="s">
        <v>64</v>
      </c>
      <c r="R485" t="s">
        <v>145</v>
      </c>
      <c r="S485" t="s">
        <v>1550</v>
      </c>
      <c r="T485">
        <v>159.97999999999999</v>
      </c>
      <c r="U485">
        <v>2</v>
      </c>
      <c r="V485">
        <v>0</v>
      </c>
      <c r="W485">
        <v>57.592799999999997</v>
      </c>
    </row>
    <row r="486" spans="1:23" x14ac:dyDescent="0.3">
      <c r="A486">
        <v>485</v>
      </c>
      <c r="B486" t="s">
        <v>1551</v>
      </c>
      <c r="C486" s="2">
        <v>42896</v>
      </c>
      <c r="D486" s="2" t="str">
        <f>LEFT(orders[[#This Row],[Ship Date]],FIND("0",F486)-1)</f>
        <v>6</v>
      </c>
      <c r="E486" s="2" t="str">
        <f>RIGHT(orders[[#This Row],[Ship Date]],4)</f>
        <v>2017</v>
      </c>
      <c r="F486" s="4" t="s">
        <v>2200</v>
      </c>
      <c r="G486" t="s">
        <v>171</v>
      </c>
      <c r="H486" t="s">
        <v>1552</v>
      </c>
      <c r="I486" t="s">
        <v>1553</v>
      </c>
      <c r="J486" t="s">
        <v>93</v>
      </c>
      <c r="K486" s="5" t="s">
        <v>1885</v>
      </c>
      <c r="L486" s="5" t="str">
        <f t="shared" si="7"/>
        <v>Los Angeles</v>
      </c>
      <c r="M486" t="s">
        <v>37</v>
      </c>
      <c r="N486">
        <v>90045</v>
      </c>
      <c r="O486" t="s">
        <v>38</v>
      </c>
      <c r="P486" t="s">
        <v>1554</v>
      </c>
      <c r="Q486" t="s">
        <v>40</v>
      </c>
      <c r="R486" t="s">
        <v>41</v>
      </c>
      <c r="S486" t="s">
        <v>1555</v>
      </c>
      <c r="T486">
        <v>29.6</v>
      </c>
      <c r="U486">
        <v>2</v>
      </c>
      <c r="V486">
        <v>0</v>
      </c>
      <c r="W486">
        <v>14.8</v>
      </c>
    </row>
    <row r="487" spans="1:23" x14ac:dyDescent="0.3">
      <c r="A487">
        <v>486</v>
      </c>
      <c r="B487" t="s">
        <v>1551</v>
      </c>
      <c r="C487" s="2">
        <v>42896</v>
      </c>
      <c r="D487" s="2" t="str">
        <f>LEFT(orders[[#This Row],[Ship Date]],FIND("0",F487)-1)</f>
        <v>6</v>
      </c>
      <c r="E487" s="2" t="str">
        <f>RIGHT(orders[[#This Row],[Ship Date]],4)</f>
        <v>2017</v>
      </c>
      <c r="F487" s="4" t="s">
        <v>2200</v>
      </c>
      <c r="G487" t="s">
        <v>171</v>
      </c>
      <c r="H487" t="s">
        <v>1552</v>
      </c>
      <c r="I487" t="s">
        <v>1553</v>
      </c>
      <c r="J487" t="s">
        <v>93</v>
      </c>
      <c r="K487" s="5" t="s">
        <v>1885</v>
      </c>
      <c r="L487" s="5" t="str">
        <f t="shared" si="7"/>
        <v>Los Angeles</v>
      </c>
      <c r="M487" t="s">
        <v>37</v>
      </c>
      <c r="N487">
        <v>90045</v>
      </c>
      <c r="O487" t="s">
        <v>38</v>
      </c>
      <c r="P487" t="s">
        <v>1556</v>
      </c>
      <c r="Q487" t="s">
        <v>27</v>
      </c>
      <c r="R487" t="s">
        <v>28</v>
      </c>
      <c r="S487" t="s">
        <v>1557</v>
      </c>
      <c r="T487">
        <v>514.16499999999996</v>
      </c>
      <c r="U487">
        <v>5</v>
      </c>
      <c r="V487">
        <v>0.15</v>
      </c>
      <c r="W487">
        <v>-30.24499999999999</v>
      </c>
    </row>
    <row r="488" spans="1:23" x14ac:dyDescent="0.3">
      <c r="A488">
        <v>487</v>
      </c>
      <c r="B488" t="s">
        <v>1551</v>
      </c>
      <c r="C488" s="2">
        <v>42896</v>
      </c>
      <c r="D488" s="2" t="str">
        <f>LEFT(orders[[#This Row],[Ship Date]],FIND("0",F488)-1)</f>
        <v>6</v>
      </c>
      <c r="E488" s="2" t="str">
        <f>RIGHT(orders[[#This Row],[Ship Date]],4)</f>
        <v>2017</v>
      </c>
      <c r="F488" s="4" t="s">
        <v>2200</v>
      </c>
      <c r="G488" t="s">
        <v>171</v>
      </c>
      <c r="H488" t="s">
        <v>1552</v>
      </c>
      <c r="I488" t="s">
        <v>1553</v>
      </c>
      <c r="J488" t="s">
        <v>93</v>
      </c>
      <c r="K488" s="5" t="s">
        <v>1885</v>
      </c>
      <c r="L488" s="5" t="str">
        <f t="shared" si="7"/>
        <v>Los Angeles</v>
      </c>
      <c r="M488" t="s">
        <v>37</v>
      </c>
      <c r="N488">
        <v>90045</v>
      </c>
      <c r="O488" t="s">
        <v>38</v>
      </c>
      <c r="P488" t="s">
        <v>1558</v>
      </c>
      <c r="Q488" t="s">
        <v>64</v>
      </c>
      <c r="R488" t="s">
        <v>65</v>
      </c>
      <c r="S488" t="s">
        <v>1559</v>
      </c>
      <c r="T488">
        <v>279.95999999999998</v>
      </c>
      <c r="U488">
        <v>5</v>
      </c>
      <c r="V488">
        <v>0.2</v>
      </c>
      <c r="W488">
        <v>17.497500000000016</v>
      </c>
    </row>
    <row r="489" spans="1:23" x14ac:dyDescent="0.3">
      <c r="A489">
        <v>488</v>
      </c>
      <c r="B489" t="s">
        <v>1560</v>
      </c>
      <c r="C489" s="2">
        <v>41941</v>
      </c>
      <c r="D489" s="2" t="str">
        <f>LEFT(orders[[#This Row],[Ship Date]],FIND("0",F489)-1)</f>
        <v>1</v>
      </c>
      <c r="E489" s="2" t="str">
        <f>RIGHT(orders[[#This Row],[Ship Date]],4)</f>
        <v>2014</v>
      </c>
      <c r="F489" s="4" t="s">
        <v>2201</v>
      </c>
      <c r="G489" t="s">
        <v>171</v>
      </c>
      <c r="H489" t="s">
        <v>1561</v>
      </c>
      <c r="I489" t="s">
        <v>1562</v>
      </c>
      <c r="J489" t="s">
        <v>23</v>
      </c>
      <c r="K489" s="5" t="s">
        <v>1906</v>
      </c>
      <c r="L489" s="5" t="str">
        <f t="shared" si="7"/>
        <v>Chicago</v>
      </c>
      <c r="M489" t="s">
        <v>192</v>
      </c>
      <c r="N489">
        <v>60610</v>
      </c>
      <c r="O489" t="s">
        <v>95</v>
      </c>
      <c r="P489" t="s">
        <v>1563</v>
      </c>
      <c r="Q489" t="s">
        <v>64</v>
      </c>
      <c r="R489" t="s">
        <v>65</v>
      </c>
      <c r="S489" t="s">
        <v>1564</v>
      </c>
      <c r="T489">
        <v>2735.9520000000002</v>
      </c>
      <c r="U489">
        <v>6</v>
      </c>
      <c r="V489">
        <v>0.2</v>
      </c>
      <c r="W489">
        <v>341.99399999999969</v>
      </c>
    </row>
    <row r="490" spans="1:23" x14ac:dyDescent="0.3">
      <c r="A490">
        <v>489</v>
      </c>
      <c r="B490" t="s">
        <v>1565</v>
      </c>
      <c r="C490" s="2">
        <v>41799</v>
      </c>
      <c r="D490" s="2" t="str">
        <f>LEFT(orders[[#This Row],[Ship Date]],FIND("0",F490)-1)</f>
        <v>6</v>
      </c>
      <c r="E490" s="2" t="str">
        <f>RIGHT(orders[[#This Row],[Ship Date]],4)</f>
        <v>2014</v>
      </c>
      <c r="F490" s="4" t="s">
        <v>2202</v>
      </c>
      <c r="G490" t="s">
        <v>20</v>
      </c>
      <c r="H490" t="s">
        <v>1566</v>
      </c>
      <c r="I490" t="s">
        <v>1567</v>
      </c>
      <c r="J490" t="s">
        <v>93</v>
      </c>
      <c r="K490" s="5" t="s">
        <v>1998</v>
      </c>
      <c r="L490" s="5" t="str">
        <f t="shared" si="7"/>
        <v>Huntsville</v>
      </c>
      <c r="M490" t="s">
        <v>94</v>
      </c>
      <c r="N490">
        <v>77340</v>
      </c>
      <c r="O490" t="s">
        <v>95</v>
      </c>
      <c r="P490" t="s">
        <v>1568</v>
      </c>
      <c r="Q490" t="s">
        <v>64</v>
      </c>
      <c r="R490" t="s">
        <v>65</v>
      </c>
      <c r="S490" t="s">
        <v>1569</v>
      </c>
      <c r="T490">
        <v>7.9920000000000009</v>
      </c>
      <c r="U490">
        <v>1</v>
      </c>
      <c r="V490">
        <v>0.2</v>
      </c>
      <c r="W490">
        <v>0.59940000000000015</v>
      </c>
    </row>
    <row r="491" spans="1:23" x14ac:dyDescent="0.3">
      <c r="A491">
        <v>490</v>
      </c>
      <c r="B491" t="s">
        <v>1565</v>
      </c>
      <c r="C491" s="2">
        <v>41799</v>
      </c>
      <c r="D491" s="2" t="str">
        <f>LEFT(orders[[#This Row],[Ship Date]],FIND("0",F491)-1)</f>
        <v>6</v>
      </c>
      <c r="E491" s="2" t="str">
        <f>RIGHT(orders[[#This Row],[Ship Date]],4)</f>
        <v>2014</v>
      </c>
      <c r="F491" s="4" t="s">
        <v>2202</v>
      </c>
      <c r="G491" t="s">
        <v>20</v>
      </c>
      <c r="H491" t="s">
        <v>1566</v>
      </c>
      <c r="I491" t="s">
        <v>1567</v>
      </c>
      <c r="J491" t="s">
        <v>93</v>
      </c>
      <c r="K491" s="5" t="s">
        <v>1998</v>
      </c>
      <c r="L491" s="5" t="str">
        <f t="shared" si="7"/>
        <v>Huntsville</v>
      </c>
      <c r="M491" t="s">
        <v>94</v>
      </c>
      <c r="N491">
        <v>77340</v>
      </c>
      <c r="O491" t="s">
        <v>95</v>
      </c>
      <c r="P491" t="s">
        <v>1570</v>
      </c>
      <c r="Q491" t="s">
        <v>64</v>
      </c>
      <c r="R491" t="s">
        <v>145</v>
      </c>
      <c r="S491" t="s">
        <v>1571</v>
      </c>
      <c r="T491">
        <v>63.984000000000009</v>
      </c>
      <c r="U491">
        <v>2</v>
      </c>
      <c r="V491">
        <v>0.2</v>
      </c>
      <c r="W491">
        <v>10.397399999999998</v>
      </c>
    </row>
    <row r="492" spans="1:23" x14ac:dyDescent="0.3">
      <c r="A492">
        <v>491</v>
      </c>
      <c r="B492" t="s">
        <v>1565</v>
      </c>
      <c r="C492" s="2">
        <v>41799</v>
      </c>
      <c r="D492" s="2" t="str">
        <f>LEFT(orders[[#This Row],[Ship Date]],FIND("0",F492)-1)</f>
        <v>6</v>
      </c>
      <c r="E492" s="2" t="str">
        <f>RIGHT(orders[[#This Row],[Ship Date]],4)</f>
        <v>2014</v>
      </c>
      <c r="F492" s="4" t="s">
        <v>2202</v>
      </c>
      <c r="G492" t="s">
        <v>20</v>
      </c>
      <c r="H492" t="s">
        <v>1566</v>
      </c>
      <c r="I492" t="s">
        <v>1567</v>
      </c>
      <c r="J492" t="s">
        <v>93</v>
      </c>
      <c r="K492" s="5" t="s">
        <v>1998</v>
      </c>
      <c r="L492" s="5" t="str">
        <f t="shared" si="7"/>
        <v>Huntsville</v>
      </c>
      <c r="M492" t="s">
        <v>94</v>
      </c>
      <c r="N492">
        <v>77340</v>
      </c>
      <c r="O492" t="s">
        <v>95</v>
      </c>
      <c r="P492" t="s">
        <v>1456</v>
      </c>
      <c r="Q492" t="s">
        <v>40</v>
      </c>
      <c r="R492" t="s">
        <v>61</v>
      </c>
      <c r="S492" t="s">
        <v>1457</v>
      </c>
      <c r="T492">
        <v>70.367999999999995</v>
      </c>
      <c r="U492">
        <v>2</v>
      </c>
      <c r="V492">
        <v>0.2</v>
      </c>
      <c r="W492">
        <v>6.1572000000000031</v>
      </c>
    </row>
    <row r="493" spans="1:23" x14ac:dyDescent="0.3">
      <c r="A493">
        <v>492</v>
      </c>
      <c r="B493" t="s">
        <v>1572</v>
      </c>
      <c r="C493" s="2">
        <v>41896</v>
      </c>
      <c r="D493" s="2" t="str">
        <f>LEFT(orders[[#This Row],[Ship Date]],FIND("0",F493)-1)</f>
        <v>9</v>
      </c>
      <c r="E493" s="2" t="str">
        <f>RIGHT(orders[[#This Row],[Ship Date]],4)</f>
        <v>2014</v>
      </c>
      <c r="F493" s="4" t="s">
        <v>2078</v>
      </c>
      <c r="G493" t="s">
        <v>44</v>
      </c>
      <c r="H493" t="s">
        <v>1573</v>
      </c>
      <c r="I493" t="s">
        <v>1574</v>
      </c>
      <c r="J493" t="s">
        <v>23</v>
      </c>
      <c r="K493" s="5" t="s">
        <v>1914</v>
      </c>
      <c r="L493" s="5" t="str">
        <f t="shared" si="7"/>
        <v>Rochester</v>
      </c>
      <c r="M493" t="s">
        <v>242</v>
      </c>
      <c r="N493">
        <v>14609</v>
      </c>
      <c r="O493" t="s">
        <v>133</v>
      </c>
      <c r="P493" t="s">
        <v>1575</v>
      </c>
      <c r="Q493" t="s">
        <v>40</v>
      </c>
      <c r="R493" t="s">
        <v>52</v>
      </c>
      <c r="S493" t="s">
        <v>1576</v>
      </c>
      <c r="T493">
        <v>449.15</v>
      </c>
      <c r="U493">
        <v>5</v>
      </c>
      <c r="V493">
        <v>0</v>
      </c>
      <c r="W493">
        <v>8.9829999999999899</v>
      </c>
    </row>
    <row r="494" spans="1:23" x14ac:dyDescent="0.3">
      <c r="A494">
        <v>493</v>
      </c>
      <c r="B494" t="s">
        <v>1572</v>
      </c>
      <c r="C494" s="2">
        <v>41896</v>
      </c>
      <c r="D494" s="2" t="str">
        <f>LEFT(orders[[#This Row],[Ship Date]],FIND("0",F494)-1)</f>
        <v>9</v>
      </c>
      <c r="E494" s="2" t="str">
        <f>RIGHT(orders[[#This Row],[Ship Date]],4)</f>
        <v>2014</v>
      </c>
      <c r="F494" s="4" t="s">
        <v>2078</v>
      </c>
      <c r="G494" t="s">
        <v>44</v>
      </c>
      <c r="H494" t="s">
        <v>1573</v>
      </c>
      <c r="I494" t="s">
        <v>1574</v>
      </c>
      <c r="J494" t="s">
        <v>23</v>
      </c>
      <c r="K494" s="5" t="s">
        <v>1914</v>
      </c>
      <c r="L494" s="5" t="str">
        <f t="shared" si="7"/>
        <v>Rochester</v>
      </c>
      <c r="M494" t="s">
        <v>242</v>
      </c>
      <c r="N494">
        <v>14609</v>
      </c>
      <c r="O494" t="s">
        <v>133</v>
      </c>
      <c r="P494" t="s">
        <v>1577</v>
      </c>
      <c r="Q494" t="s">
        <v>40</v>
      </c>
      <c r="R494" t="s">
        <v>157</v>
      </c>
      <c r="S494" t="s">
        <v>1578</v>
      </c>
      <c r="T494">
        <v>11.07</v>
      </c>
      <c r="U494">
        <v>3</v>
      </c>
      <c r="V494">
        <v>0</v>
      </c>
      <c r="W494">
        <v>5.0921999999999992</v>
      </c>
    </row>
    <row r="495" spans="1:23" x14ac:dyDescent="0.3">
      <c r="A495">
        <v>494</v>
      </c>
      <c r="B495" t="s">
        <v>1579</v>
      </c>
      <c r="C495" s="2">
        <v>42499</v>
      </c>
      <c r="D495" s="2" t="str">
        <f>LEFT(orders[[#This Row],[Ship Date]],FIND("0",F495)-1)</f>
        <v>5</v>
      </c>
      <c r="E495" s="2" t="str">
        <f>RIGHT(orders[[#This Row],[Ship Date]],4)</f>
        <v>2016</v>
      </c>
      <c r="F495" s="4" t="s">
        <v>2203</v>
      </c>
      <c r="G495" t="s">
        <v>44</v>
      </c>
      <c r="H495" t="s">
        <v>1580</v>
      </c>
      <c r="I495" t="s">
        <v>1581</v>
      </c>
      <c r="J495" t="s">
        <v>23</v>
      </c>
      <c r="K495" s="5" t="s">
        <v>1888</v>
      </c>
      <c r="L495" s="5" t="str">
        <f t="shared" si="7"/>
        <v>Seattle</v>
      </c>
      <c r="M495" t="s">
        <v>87</v>
      </c>
      <c r="N495">
        <v>98115</v>
      </c>
      <c r="O495" t="s">
        <v>38</v>
      </c>
      <c r="P495" t="s">
        <v>1582</v>
      </c>
      <c r="Q495" t="s">
        <v>64</v>
      </c>
      <c r="R495" t="s">
        <v>145</v>
      </c>
      <c r="S495" t="s">
        <v>1583</v>
      </c>
      <c r="T495">
        <v>93.98</v>
      </c>
      <c r="U495">
        <v>2</v>
      </c>
      <c r="V495">
        <v>0</v>
      </c>
      <c r="W495">
        <v>13.157200000000003</v>
      </c>
    </row>
    <row r="496" spans="1:23" x14ac:dyDescent="0.3">
      <c r="A496">
        <v>495</v>
      </c>
      <c r="B496" t="s">
        <v>1584</v>
      </c>
      <c r="C496" s="2">
        <v>42447</v>
      </c>
      <c r="D496" s="2" t="str">
        <f>LEFT(orders[[#This Row],[Ship Date]],FIND("0",F496)-1)</f>
        <v>3</v>
      </c>
      <c r="E496" s="2" t="str">
        <f>RIGHT(orders[[#This Row],[Ship Date]],4)</f>
        <v>2016</v>
      </c>
      <c r="F496" s="4" t="s">
        <v>2204</v>
      </c>
      <c r="G496" t="s">
        <v>20</v>
      </c>
      <c r="H496" t="s">
        <v>1585</v>
      </c>
      <c r="I496" t="s">
        <v>1586</v>
      </c>
      <c r="J496" t="s">
        <v>23</v>
      </c>
      <c r="K496" s="5" t="s">
        <v>1910</v>
      </c>
      <c r="L496" s="5" t="str">
        <f t="shared" si="7"/>
        <v>Memphis</v>
      </c>
      <c r="M496" t="s">
        <v>304</v>
      </c>
      <c r="N496">
        <v>38109</v>
      </c>
      <c r="O496" t="s">
        <v>25</v>
      </c>
      <c r="P496" t="s">
        <v>1587</v>
      </c>
      <c r="Q496" t="s">
        <v>27</v>
      </c>
      <c r="R496" t="s">
        <v>49</v>
      </c>
      <c r="S496" t="s">
        <v>1588</v>
      </c>
      <c r="T496">
        <v>189.88200000000001</v>
      </c>
      <c r="U496">
        <v>3</v>
      </c>
      <c r="V496">
        <v>0.4</v>
      </c>
      <c r="W496">
        <v>-94.941000000000017</v>
      </c>
    </row>
    <row r="497" spans="1:23" x14ac:dyDescent="0.3">
      <c r="A497">
        <v>496</v>
      </c>
      <c r="B497" t="s">
        <v>1589</v>
      </c>
      <c r="C497" s="2">
        <v>42365</v>
      </c>
      <c r="D497" s="2" t="str">
        <f>LEFT(orders[[#This Row],[Ship Date]],FIND("0",F497)-1)</f>
        <v>12</v>
      </c>
      <c r="E497" s="2" t="str">
        <f>RIGHT(orders[[#This Row],[Ship Date]],4)</f>
        <v>2015</v>
      </c>
      <c r="F497" s="4" t="s">
        <v>2018</v>
      </c>
      <c r="G497" t="s">
        <v>44</v>
      </c>
      <c r="H497" t="s">
        <v>1590</v>
      </c>
      <c r="I497" t="s">
        <v>1591</v>
      </c>
      <c r="J497" t="s">
        <v>23</v>
      </c>
      <c r="K497" s="5" t="s">
        <v>1999</v>
      </c>
      <c r="L497" s="5" t="str">
        <f t="shared" si="7"/>
        <v>Fayetteville</v>
      </c>
      <c r="M497" t="s">
        <v>1592</v>
      </c>
      <c r="N497">
        <v>72701</v>
      </c>
      <c r="O497" t="s">
        <v>25</v>
      </c>
      <c r="P497" t="s">
        <v>1593</v>
      </c>
      <c r="Q497" t="s">
        <v>40</v>
      </c>
      <c r="R497" t="s">
        <v>157</v>
      </c>
      <c r="S497" t="s">
        <v>1594</v>
      </c>
      <c r="T497">
        <v>105.42</v>
      </c>
      <c r="U497">
        <v>2</v>
      </c>
      <c r="V497">
        <v>0</v>
      </c>
      <c r="W497">
        <v>51.655799999999999</v>
      </c>
    </row>
    <row r="498" spans="1:23" x14ac:dyDescent="0.3">
      <c r="A498">
        <v>497</v>
      </c>
      <c r="B498" t="s">
        <v>1595</v>
      </c>
      <c r="C498" s="2">
        <v>42576</v>
      </c>
      <c r="D498" s="2" t="str">
        <f>LEFT(orders[[#This Row],[Ship Date]],FIND("0",F498)-1)</f>
        <v>7</v>
      </c>
      <c r="E498" s="2" t="str">
        <f>RIGHT(orders[[#This Row],[Ship Date]],4)</f>
        <v>2016</v>
      </c>
      <c r="F498" s="4" t="s">
        <v>2205</v>
      </c>
      <c r="G498" t="s">
        <v>44</v>
      </c>
      <c r="H498" t="s">
        <v>1473</v>
      </c>
      <c r="I498" t="s">
        <v>1474</v>
      </c>
      <c r="J498" t="s">
        <v>23</v>
      </c>
      <c r="K498" s="5" t="s">
        <v>2000</v>
      </c>
      <c r="L498" s="5" t="str">
        <f t="shared" si="7"/>
        <v>Costa Mesa</v>
      </c>
      <c r="M498" t="s">
        <v>37</v>
      </c>
      <c r="N498">
        <v>92627</v>
      </c>
      <c r="O498" t="s">
        <v>38</v>
      </c>
      <c r="P498" t="s">
        <v>1596</v>
      </c>
      <c r="Q498" t="s">
        <v>40</v>
      </c>
      <c r="R498" t="s">
        <v>68</v>
      </c>
      <c r="S498" t="s">
        <v>1597</v>
      </c>
      <c r="T498">
        <v>119.61600000000001</v>
      </c>
      <c r="U498">
        <v>8</v>
      </c>
      <c r="V498">
        <v>0.2</v>
      </c>
      <c r="W498">
        <v>40.370399999999997</v>
      </c>
    </row>
    <row r="499" spans="1:23" x14ac:dyDescent="0.3">
      <c r="A499">
        <v>498</v>
      </c>
      <c r="B499" t="s">
        <v>1595</v>
      </c>
      <c r="C499" s="2">
        <v>42576</v>
      </c>
      <c r="D499" s="2" t="str">
        <f>LEFT(orders[[#This Row],[Ship Date]],FIND("0",F499)-1)</f>
        <v>7</v>
      </c>
      <c r="E499" s="2" t="str">
        <f>RIGHT(orders[[#This Row],[Ship Date]],4)</f>
        <v>2016</v>
      </c>
      <c r="F499" s="4" t="s">
        <v>2205</v>
      </c>
      <c r="G499" t="s">
        <v>44</v>
      </c>
      <c r="H499" t="s">
        <v>1473</v>
      </c>
      <c r="I499" t="s">
        <v>1474</v>
      </c>
      <c r="J499" t="s">
        <v>23</v>
      </c>
      <c r="K499" s="5" t="s">
        <v>2000</v>
      </c>
      <c r="L499" s="5" t="str">
        <f t="shared" si="7"/>
        <v>Costa Mesa</v>
      </c>
      <c r="M499" t="s">
        <v>37</v>
      </c>
      <c r="N499">
        <v>92627</v>
      </c>
      <c r="O499" t="s">
        <v>38</v>
      </c>
      <c r="P499" t="s">
        <v>1598</v>
      </c>
      <c r="Q499" t="s">
        <v>27</v>
      </c>
      <c r="R499" t="s">
        <v>58</v>
      </c>
      <c r="S499" t="s">
        <v>1599</v>
      </c>
      <c r="T499">
        <v>255.76</v>
      </c>
      <c r="U499">
        <v>4</v>
      </c>
      <c r="V499">
        <v>0</v>
      </c>
      <c r="W499">
        <v>81.843199999999996</v>
      </c>
    </row>
    <row r="500" spans="1:23" x14ac:dyDescent="0.3">
      <c r="A500">
        <v>499</v>
      </c>
      <c r="B500" t="s">
        <v>1595</v>
      </c>
      <c r="C500" s="2">
        <v>42576</v>
      </c>
      <c r="D500" s="2" t="str">
        <f>LEFT(orders[[#This Row],[Ship Date]],FIND("0",F500)-1)</f>
        <v>7</v>
      </c>
      <c r="E500" s="2" t="str">
        <f>RIGHT(orders[[#This Row],[Ship Date]],4)</f>
        <v>2016</v>
      </c>
      <c r="F500" s="4" t="s">
        <v>2205</v>
      </c>
      <c r="G500" t="s">
        <v>44</v>
      </c>
      <c r="H500" t="s">
        <v>1473</v>
      </c>
      <c r="I500" t="s">
        <v>1474</v>
      </c>
      <c r="J500" t="s">
        <v>23</v>
      </c>
      <c r="K500" s="5" t="s">
        <v>2000</v>
      </c>
      <c r="L500" s="5" t="str">
        <f t="shared" si="7"/>
        <v>Costa Mesa</v>
      </c>
      <c r="M500" t="s">
        <v>37</v>
      </c>
      <c r="N500">
        <v>92627</v>
      </c>
      <c r="O500" t="s">
        <v>38</v>
      </c>
      <c r="P500" t="s">
        <v>1078</v>
      </c>
      <c r="Q500" t="s">
        <v>27</v>
      </c>
      <c r="R500" t="s">
        <v>31</v>
      </c>
      <c r="S500" t="s">
        <v>1079</v>
      </c>
      <c r="T500">
        <v>241.56799999999998</v>
      </c>
      <c r="U500">
        <v>2</v>
      </c>
      <c r="V500">
        <v>0.2</v>
      </c>
      <c r="W500">
        <v>18.11760000000001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7E1A-D126-4B9E-8C4A-05890A1E4F43}">
  <dimension ref="A2:V50"/>
  <sheetViews>
    <sheetView topLeftCell="A9" zoomScale="64" workbookViewId="0">
      <selection activeCell="B52" sqref="B52"/>
    </sheetView>
  </sheetViews>
  <sheetFormatPr defaultRowHeight="14.4" x14ac:dyDescent="0.3"/>
  <cols>
    <col min="1" max="1" width="16.44140625" bestFit="1" customWidth="1"/>
    <col min="2" max="2" width="12.6640625" bestFit="1" customWidth="1"/>
    <col min="3" max="3" width="12.109375" bestFit="1" customWidth="1"/>
    <col min="4" max="4" width="17.109375" bestFit="1" customWidth="1"/>
    <col min="5" max="5" width="15.5546875" bestFit="1" customWidth="1"/>
    <col min="6" max="6" width="14" bestFit="1" customWidth="1"/>
    <col min="7" max="7" width="10.77734375" bestFit="1" customWidth="1"/>
    <col min="8" max="8" width="11" bestFit="1" customWidth="1"/>
    <col min="10" max="10" width="16" bestFit="1" customWidth="1"/>
    <col min="11" max="11" width="12.88671875" bestFit="1" customWidth="1"/>
    <col min="12" max="12" width="11.77734375" bestFit="1" customWidth="1"/>
    <col min="13" max="13" width="17" bestFit="1" customWidth="1"/>
    <col min="14" max="14" width="14.5546875" bestFit="1" customWidth="1"/>
    <col min="15" max="15" width="12.21875" bestFit="1" customWidth="1"/>
    <col min="17" max="17" width="15" bestFit="1" customWidth="1"/>
    <col min="19" max="19" width="15" bestFit="1" customWidth="1"/>
    <col min="21" max="21" width="12.88671875" bestFit="1" customWidth="1"/>
    <col min="22" max="22" width="12.21875" bestFit="1" customWidth="1"/>
    <col min="23" max="23" width="10.6640625" bestFit="1" customWidth="1"/>
    <col min="24" max="24" width="10" bestFit="1" customWidth="1"/>
    <col min="25" max="26" width="9" bestFit="1" customWidth="1"/>
    <col min="27" max="27" width="10.77734375" bestFit="1" customWidth="1"/>
  </cols>
  <sheetData>
    <row r="2" spans="1:13" x14ac:dyDescent="0.3">
      <c r="A2" s="6" t="s">
        <v>12</v>
      </c>
      <c r="B2" t="s">
        <v>2212</v>
      </c>
    </row>
    <row r="3" spans="1:13" x14ac:dyDescent="0.3">
      <c r="A3" s="7" t="s">
        <v>27</v>
      </c>
      <c r="B3" s="10">
        <v>45847.610099999976</v>
      </c>
    </row>
    <row r="4" spans="1:13" x14ac:dyDescent="0.3">
      <c r="A4" s="7" t="s">
        <v>40</v>
      </c>
      <c r="B4" s="10">
        <v>31467.874999999975</v>
      </c>
    </row>
    <row r="5" spans="1:13" x14ac:dyDescent="0.3">
      <c r="A5" s="7" t="s">
        <v>64</v>
      </c>
      <c r="B5" s="10">
        <v>52041.53100000001</v>
      </c>
    </row>
    <row r="6" spans="1:13" x14ac:dyDescent="0.3">
      <c r="A6" s="7" t="s">
        <v>2211</v>
      </c>
      <c r="B6" s="10">
        <v>129357.01609999995</v>
      </c>
    </row>
    <row r="10" spans="1:13" x14ac:dyDescent="0.3">
      <c r="A10" s="6" t="s">
        <v>10</v>
      </c>
      <c r="B10" t="s">
        <v>2212</v>
      </c>
    </row>
    <row r="11" spans="1:13" x14ac:dyDescent="0.3">
      <c r="A11" s="7" t="s">
        <v>95</v>
      </c>
      <c r="B11" s="10">
        <v>45502.307599999978</v>
      </c>
      <c r="M11" s="8"/>
    </row>
    <row r="12" spans="1:13" x14ac:dyDescent="0.3">
      <c r="A12" s="7" t="s">
        <v>133</v>
      </c>
      <c r="B12" s="10">
        <v>33797.924000000014</v>
      </c>
    </row>
    <row r="13" spans="1:13" x14ac:dyDescent="0.3">
      <c r="A13" s="7" t="s">
        <v>25</v>
      </c>
      <c r="B13" s="10">
        <v>12344.4475</v>
      </c>
    </row>
    <row r="14" spans="1:13" x14ac:dyDescent="0.3">
      <c r="A14" s="7" t="s">
        <v>38</v>
      </c>
      <c r="B14" s="10">
        <v>37712.336999999978</v>
      </c>
    </row>
    <row r="15" spans="1:13" x14ac:dyDescent="0.3">
      <c r="A15" s="7" t="s">
        <v>2211</v>
      </c>
      <c r="B15" s="10">
        <v>129357.01609999998</v>
      </c>
    </row>
    <row r="19" spans="1:22" x14ac:dyDescent="0.3">
      <c r="A19" s="6" t="s">
        <v>2214</v>
      </c>
      <c r="B19" t="s">
        <v>2212</v>
      </c>
      <c r="D19" s="6" t="s">
        <v>2232</v>
      </c>
      <c r="E19" s="6" t="s">
        <v>2231</v>
      </c>
    </row>
    <row r="20" spans="1:22" x14ac:dyDescent="0.3">
      <c r="A20" s="7" t="s">
        <v>145</v>
      </c>
      <c r="B20" s="10">
        <v>11354.332</v>
      </c>
      <c r="D20" s="6" t="s">
        <v>8</v>
      </c>
      <c r="E20" t="s">
        <v>27</v>
      </c>
      <c r="F20" t="s">
        <v>40</v>
      </c>
      <c r="G20" t="s">
        <v>64</v>
      </c>
      <c r="H20" t="s">
        <v>2211</v>
      </c>
    </row>
    <row r="21" spans="1:22" x14ac:dyDescent="0.3">
      <c r="A21" s="7" t="s">
        <v>71</v>
      </c>
      <c r="B21" s="10">
        <v>4498.0119999999997</v>
      </c>
      <c r="D21" s="7" t="s">
        <v>282</v>
      </c>
      <c r="E21" s="10">
        <v>1296.1899999999998</v>
      </c>
      <c r="F21" s="10">
        <v>1826.857</v>
      </c>
      <c r="G21" s="10">
        <v>1874.1280000000002</v>
      </c>
      <c r="H21" s="10">
        <v>4997.1749999999993</v>
      </c>
    </row>
    <row r="22" spans="1:22" x14ac:dyDescent="0.3">
      <c r="A22" s="7" t="s">
        <v>68</v>
      </c>
      <c r="B22" s="10">
        <v>7848.5929999999998</v>
      </c>
      <c r="D22" s="7" t="s">
        <v>37</v>
      </c>
      <c r="E22" s="10">
        <v>8804.0399999999991</v>
      </c>
      <c r="F22" s="10">
        <v>4450.7380000000012</v>
      </c>
      <c r="G22" s="10">
        <v>10347.987999999999</v>
      </c>
      <c r="H22" s="10">
        <v>23602.766</v>
      </c>
    </row>
    <row r="23" spans="1:22" x14ac:dyDescent="0.3">
      <c r="A23" s="7" t="s">
        <v>28</v>
      </c>
      <c r="B23" s="10">
        <v>12050.579600000001</v>
      </c>
      <c r="D23" s="7" t="s">
        <v>47</v>
      </c>
      <c r="E23" s="10">
        <v>2445.5815000000002</v>
      </c>
      <c r="F23" s="10">
        <v>1563.31</v>
      </c>
      <c r="G23" s="10">
        <v>1128.1360000000002</v>
      </c>
      <c r="H23" s="10">
        <v>5137.0275000000001</v>
      </c>
    </row>
    <row r="24" spans="1:22" x14ac:dyDescent="0.3">
      <c r="A24" s="7" t="s">
        <v>31</v>
      </c>
      <c r="B24" s="10">
        <v>16563.644999999997</v>
      </c>
      <c r="D24" s="7" t="s">
        <v>192</v>
      </c>
      <c r="E24" s="10">
        <v>2676.9610000000007</v>
      </c>
      <c r="F24" s="10">
        <v>1002.63</v>
      </c>
      <c r="G24" s="10">
        <v>5743.8909999999996</v>
      </c>
      <c r="H24" s="10">
        <v>9423.482</v>
      </c>
    </row>
    <row r="25" spans="1:22" x14ac:dyDescent="0.3">
      <c r="A25" s="7" t="s">
        <v>1127</v>
      </c>
      <c r="B25" s="10">
        <v>3959.9300000000003</v>
      </c>
      <c r="D25" s="7" t="s">
        <v>208</v>
      </c>
      <c r="E25" s="10">
        <v>2055.2000000000003</v>
      </c>
      <c r="F25" s="10">
        <v>1915.1100000000001</v>
      </c>
      <c r="G25" s="10">
        <v>65.97</v>
      </c>
      <c r="H25" s="10">
        <v>4036.28</v>
      </c>
    </row>
    <row r="26" spans="1:22" x14ac:dyDescent="0.3">
      <c r="A26" s="7" t="s">
        <v>627</v>
      </c>
      <c r="B26" s="10">
        <v>20960.168999999998</v>
      </c>
      <c r="D26" s="7" t="s">
        <v>242</v>
      </c>
      <c r="E26" s="10">
        <v>3318.5860000000002</v>
      </c>
      <c r="F26" s="10">
        <v>7469.1119999999983</v>
      </c>
      <c r="G26" s="10">
        <v>6091.8599999999979</v>
      </c>
      <c r="H26" s="10">
        <v>16879.557999999997</v>
      </c>
    </row>
    <row r="27" spans="1:22" x14ac:dyDescent="0.3">
      <c r="A27" s="7" t="s">
        <v>65</v>
      </c>
      <c r="B27" s="10">
        <v>15767.100000000004</v>
      </c>
      <c r="D27" s="7" t="s">
        <v>455</v>
      </c>
      <c r="E27" s="10">
        <v>1387.1780000000001</v>
      </c>
      <c r="F27" s="10">
        <v>1249.4160000000002</v>
      </c>
      <c r="G27" s="10">
        <v>2136.5080000000003</v>
      </c>
      <c r="H27" s="10">
        <v>4773.1020000000008</v>
      </c>
    </row>
    <row r="28" spans="1:22" x14ac:dyDescent="0.3">
      <c r="A28" s="7" t="s">
        <v>52</v>
      </c>
      <c r="B28" s="10">
        <v>10486.334000000001</v>
      </c>
      <c r="D28" s="7" t="s">
        <v>132</v>
      </c>
      <c r="E28" s="10">
        <v>4151.5060000000003</v>
      </c>
      <c r="F28" s="10">
        <v>1130.9840000000002</v>
      </c>
      <c r="G28" s="10">
        <v>982.35000000000014</v>
      </c>
      <c r="H28" s="10">
        <v>6264.8400000000011</v>
      </c>
      <c r="K28" t="s">
        <v>2227</v>
      </c>
      <c r="M28" t="s">
        <v>2228</v>
      </c>
      <c r="O28" t="s">
        <v>2213</v>
      </c>
      <c r="Q28" t="s">
        <v>2229</v>
      </c>
      <c r="S28" t="s">
        <v>2230</v>
      </c>
      <c r="U28" s="6" t="s">
        <v>2233</v>
      </c>
      <c r="V28" t="s">
        <v>2213</v>
      </c>
    </row>
    <row r="29" spans="1:22" x14ac:dyDescent="0.3">
      <c r="A29" s="7" t="s">
        <v>49</v>
      </c>
      <c r="B29" s="10">
        <v>13557.569499999998</v>
      </c>
      <c r="D29" s="7" t="s">
        <v>94</v>
      </c>
      <c r="E29" s="10">
        <v>5906.6015999999991</v>
      </c>
      <c r="F29" s="10">
        <v>1610.2140000000002</v>
      </c>
      <c r="G29" s="10">
        <v>16617.34</v>
      </c>
      <c r="H29" s="10">
        <v>24134.155599999998</v>
      </c>
      <c r="K29" s="9">
        <v>129357.01609999998</v>
      </c>
      <c r="M29">
        <v>296</v>
      </c>
      <c r="O29" s="10">
        <v>5340.6419999999971</v>
      </c>
      <c r="Q29" s="10">
        <v>85.310000000000315</v>
      </c>
      <c r="S29" s="10">
        <v>1964</v>
      </c>
      <c r="U29" s="7" t="s">
        <v>2238</v>
      </c>
      <c r="V29" s="10">
        <v>2423.1919999999955</v>
      </c>
    </row>
    <row r="30" spans="1:22" x14ac:dyDescent="0.3">
      <c r="A30" s="7" t="s">
        <v>2211</v>
      </c>
      <c r="B30" s="10">
        <v>117046.2641</v>
      </c>
      <c r="D30" s="7" t="s">
        <v>87</v>
      </c>
      <c r="E30" s="10">
        <v>1552.2339999999999</v>
      </c>
      <c r="F30" s="10">
        <v>737.37800000000004</v>
      </c>
      <c r="G30" s="10">
        <v>3040.2440000000001</v>
      </c>
      <c r="H30" s="10">
        <v>5329.8559999999998</v>
      </c>
      <c r="U30" s="7" t="s">
        <v>2237</v>
      </c>
      <c r="V30" s="10">
        <v>-2029.7897000000007</v>
      </c>
    </row>
    <row r="31" spans="1:22" x14ac:dyDescent="0.3">
      <c r="D31" s="7" t="s">
        <v>2211</v>
      </c>
      <c r="E31" s="10">
        <v>33594.078099999999</v>
      </c>
      <c r="F31" s="10">
        <v>22955.749</v>
      </c>
      <c r="G31" s="10">
        <v>48028.415000000001</v>
      </c>
      <c r="H31" s="10">
        <v>104578.2421</v>
      </c>
      <c r="K31" s="6" t="s">
        <v>2233</v>
      </c>
      <c r="L31" t="s">
        <v>2212</v>
      </c>
      <c r="U31" s="7" t="s">
        <v>2236</v>
      </c>
      <c r="V31" s="10">
        <v>3919.3064999999951</v>
      </c>
    </row>
    <row r="32" spans="1:22" x14ac:dyDescent="0.3">
      <c r="K32" s="7" t="s">
        <v>2238</v>
      </c>
      <c r="L32" s="9">
        <v>47399.161999999989</v>
      </c>
      <c r="U32" s="7" t="s">
        <v>2239</v>
      </c>
      <c r="V32" s="10">
        <v>817.43960000000004</v>
      </c>
    </row>
    <row r="33" spans="1:22" x14ac:dyDescent="0.3">
      <c r="K33" s="7" t="s">
        <v>2237</v>
      </c>
      <c r="L33" s="9">
        <v>24401.011199999986</v>
      </c>
      <c r="U33" s="7" t="s">
        <v>2240</v>
      </c>
      <c r="V33" s="10">
        <v>210.4935999999999</v>
      </c>
    </row>
    <row r="34" spans="1:22" x14ac:dyDescent="0.3">
      <c r="A34" s="6" t="s">
        <v>2215</v>
      </c>
      <c r="B34" t="s">
        <v>2212</v>
      </c>
      <c r="K34" s="7" t="s">
        <v>2236</v>
      </c>
      <c r="L34" s="9">
        <v>39396.04659999998</v>
      </c>
      <c r="U34" s="7" t="s">
        <v>2211</v>
      </c>
      <c r="V34" s="10">
        <v>5340.6419999999889</v>
      </c>
    </row>
    <row r="35" spans="1:22" x14ac:dyDescent="0.3">
      <c r="A35" s="7" t="s">
        <v>2224</v>
      </c>
      <c r="B35" s="10">
        <v>3364.07</v>
      </c>
      <c r="K35" s="7" t="s">
        <v>2239</v>
      </c>
      <c r="L35" s="9">
        <v>17434.956299999998</v>
      </c>
    </row>
    <row r="36" spans="1:22" x14ac:dyDescent="0.3">
      <c r="A36" s="7" t="s">
        <v>2219</v>
      </c>
      <c r="B36" s="10">
        <v>3745.63</v>
      </c>
      <c r="K36" s="7" t="s">
        <v>2240</v>
      </c>
      <c r="L36" s="9">
        <v>725.84</v>
      </c>
    </row>
    <row r="37" spans="1:22" x14ac:dyDescent="0.3">
      <c r="A37" s="7" t="s">
        <v>2217</v>
      </c>
      <c r="B37" s="10">
        <v>4181.402</v>
      </c>
      <c r="K37" s="7" t="s">
        <v>2211</v>
      </c>
      <c r="L37" s="9">
        <v>129357.01609999995</v>
      </c>
    </row>
    <row r="38" spans="1:22" x14ac:dyDescent="0.3">
      <c r="A38" s="7" t="s">
        <v>2222</v>
      </c>
      <c r="B38" s="10">
        <v>6264.8400000000011</v>
      </c>
    </row>
    <row r="39" spans="1:22" x14ac:dyDescent="0.3">
      <c r="A39" s="7" t="s">
        <v>2216</v>
      </c>
      <c r="B39" s="10">
        <v>6762.2660000000005</v>
      </c>
      <c r="N39" s="6" t="s">
        <v>2226</v>
      </c>
      <c r="O39" t="s">
        <v>2212</v>
      </c>
    </row>
    <row r="40" spans="1:22" x14ac:dyDescent="0.3">
      <c r="A40" s="7" t="s">
        <v>2225</v>
      </c>
      <c r="B40" s="10">
        <v>8308.8570000000018</v>
      </c>
      <c r="N40" s="7" t="s">
        <v>208</v>
      </c>
      <c r="O40" s="10">
        <v>4036.28</v>
      </c>
    </row>
    <row r="41" spans="1:22" x14ac:dyDescent="0.3">
      <c r="A41" s="7" t="s">
        <v>2220</v>
      </c>
      <c r="B41" s="10">
        <v>8991.523000000001</v>
      </c>
      <c r="N41" s="7" t="s">
        <v>455</v>
      </c>
      <c r="O41" s="10">
        <v>4773.1020000000008</v>
      </c>
    </row>
    <row r="42" spans="1:22" x14ac:dyDescent="0.3">
      <c r="A42" s="7" t="s">
        <v>2223</v>
      </c>
      <c r="B42" s="10">
        <v>10546.567999999999</v>
      </c>
      <c r="N42" s="7" t="s">
        <v>282</v>
      </c>
      <c r="O42" s="10">
        <v>4997.1749999999993</v>
      </c>
    </row>
    <row r="43" spans="1:22" x14ac:dyDescent="0.3">
      <c r="A43" s="7" t="s">
        <v>2218</v>
      </c>
      <c r="B43" s="10">
        <v>11566.000799999998</v>
      </c>
      <c r="N43" s="7" t="s">
        <v>47</v>
      </c>
      <c r="O43" s="10">
        <v>5137.0275000000011</v>
      </c>
    </row>
    <row r="44" spans="1:22" x14ac:dyDescent="0.3">
      <c r="A44" s="7" t="s">
        <v>2221</v>
      </c>
      <c r="B44" s="10">
        <v>15037.798000000003</v>
      </c>
      <c r="N44" s="7" t="s">
        <v>87</v>
      </c>
      <c r="O44" s="10">
        <v>5329.8559999999998</v>
      </c>
    </row>
    <row r="45" spans="1:22" x14ac:dyDescent="0.3">
      <c r="A45" s="7" t="s">
        <v>2211</v>
      </c>
      <c r="B45" s="10">
        <v>78768.954800000021</v>
      </c>
      <c r="N45" s="7" t="s">
        <v>132</v>
      </c>
      <c r="O45" s="10">
        <v>6264.8400000000011</v>
      </c>
    </row>
    <row r="46" spans="1:22" x14ac:dyDescent="0.3">
      <c r="N46" s="7" t="s">
        <v>192</v>
      </c>
      <c r="O46" s="10">
        <v>9423.482</v>
      </c>
    </row>
    <row r="47" spans="1:22" x14ac:dyDescent="0.3">
      <c r="N47" s="7" t="s">
        <v>242</v>
      </c>
      <c r="O47" s="10">
        <v>16879.558000000005</v>
      </c>
    </row>
    <row r="48" spans="1:22" x14ac:dyDescent="0.3">
      <c r="N48" s="7" t="s">
        <v>37</v>
      </c>
      <c r="O48" s="10">
        <v>23602.765999999996</v>
      </c>
    </row>
    <row r="49" spans="14:15" x14ac:dyDescent="0.3">
      <c r="N49" s="7" t="s">
        <v>94</v>
      </c>
      <c r="O49" s="10">
        <v>24134.155599999987</v>
      </c>
    </row>
    <row r="50" spans="14:15" x14ac:dyDescent="0.3">
      <c r="N50" s="7" t="s">
        <v>2211</v>
      </c>
      <c r="O50" s="10">
        <v>104578.24209999997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407C-E8F1-4527-B422-683C5DBE790E}">
  <dimension ref="A1:B297"/>
  <sheetViews>
    <sheetView workbookViewId="0">
      <selection activeCell="E26" sqref="E26"/>
    </sheetView>
  </sheetViews>
  <sheetFormatPr defaultRowHeight="14.4" x14ac:dyDescent="0.3"/>
  <cols>
    <col min="1" max="1" width="11.44140625" customWidth="1"/>
    <col min="2" max="2" width="15.109375" bestFit="1" customWidth="1"/>
  </cols>
  <sheetData>
    <row r="1" spans="1:2" x14ac:dyDescent="0.3">
      <c r="A1" t="s">
        <v>2206</v>
      </c>
      <c r="B1" t="s">
        <v>1</v>
      </c>
    </row>
    <row r="2" spans="1:2" x14ac:dyDescent="0.3">
      <c r="A2" t="s">
        <v>2207</v>
      </c>
      <c r="B2" t="s">
        <v>1803</v>
      </c>
    </row>
    <row r="3" spans="1:2" x14ac:dyDescent="0.3">
      <c r="A3" t="s">
        <v>2207</v>
      </c>
      <c r="B3" t="s">
        <v>1754</v>
      </c>
    </row>
    <row r="4" spans="1:2" x14ac:dyDescent="0.3">
      <c r="A4" t="s">
        <v>2207</v>
      </c>
      <c r="B4" t="s">
        <v>1723</v>
      </c>
    </row>
    <row r="5" spans="1:2" x14ac:dyDescent="0.3">
      <c r="A5" t="s">
        <v>2207</v>
      </c>
      <c r="B5" t="s">
        <v>1704</v>
      </c>
    </row>
    <row r="6" spans="1:2" x14ac:dyDescent="0.3">
      <c r="A6" t="s">
        <v>2207</v>
      </c>
      <c r="B6" t="s">
        <v>1717</v>
      </c>
    </row>
    <row r="7" spans="1:2" x14ac:dyDescent="0.3">
      <c r="A7" t="s">
        <v>2207</v>
      </c>
      <c r="B7" t="s">
        <v>1719</v>
      </c>
    </row>
    <row r="8" spans="1:2" x14ac:dyDescent="0.3">
      <c r="A8" t="s">
        <v>2207</v>
      </c>
      <c r="B8" t="s">
        <v>1830</v>
      </c>
    </row>
    <row r="9" spans="1:2" x14ac:dyDescent="0.3">
      <c r="A9" t="s">
        <v>2207</v>
      </c>
      <c r="B9" t="s">
        <v>1801</v>
      </c>
    </row>
    <row r="10" spans="1:2" x14ac:dyDescent="0.3">
      <c r="A10" t="s">
        <v>2207</v>
      </c>
      <c r="B10" t="s">
        <v>1687</v>
      </c>
    </row>
    <row r="11" spans="1:2" x14ac:dyDescent="0.3">
      <c r="A11" t="s">
        <v>2207</v>
      </c>
      <c r="B11" t="s">
        <v>1769</v>
      </c>
    </row>
    <row r="12" spans="1:2" x14ac:dyDescent="0.3">
      <c r="A12" t="s">
        <v>2207</v>
      </c>
      <c r="B12" t="s">
        <v>1781</v>
      </c>
    </row>
    <row r="13" spans="1:2" x14ac:dyDescent="0.3">
      <c r="A13" t="s">
        <v>2207</v>
      </c>
      <c r="B13" t="s">
        <v>1850</v>
      </c>
    </row>
    <row r="14" spans="1:2" x14ac:dyDescent="0.3">
      <c r="A14" t="s">
        <v>2207</v>
      </c>
      <c r="B14" t="s">
        <v>1849</v>
      </c>
    </row>
    <row r="15" spans="1:2" x14ac:dyDescent="0.3">
      <c r="A15" t="s">
        <v>2207</v>
      </c>
      <c r="B15" t="s">
        <v>248</v>
      </c>
    </row>
    <row r="16" spans="1:2" x14ac:dyDescent="0.3">
      <c r="A16" t="s">
        <v>2207</v>
      </c>
      <c r="B16" t="s">
        <v>1685</v>
      </c>
    </row>
    <row r="17" spans="1:2" x14ac:dyDescent="0.3">
      <c r="A17" t="s">
        <v>2207</v>
      </c>
      <c r="B17" t="s">
        <v>1731</v>
      </c>
    </row>
    <row r="18" spans="1:2" x14ac:dyDescent="0.3">
      <c r="A18" t="s">
        <v>2207</v>
      </c>
      <c r="B18" t="s">
        <v>1740</v>
      </c>
    </row>
    <row r="19" spans="1:2" x14ac:dyDescent="0.3">
      <c r="A19" t="s">
        <v>2207</v>
      </c>
      <c r="B19" t="s">
        <v>1784</v>
      </c>
    </row>
    <row r="20" spans="1:2" x14ac:dyDescent="0.3">
      <c r="A20" t="s">
        <v>2207</v>
      </c>
      <c r="B20" t="s">
        <v>1653</v>
      </c>
    </row>
    <row r="21" spans="1:2" x14ac:dyDescent="0.3">
      <c r="A21" t="s">
        <v>2207</v>
      </c>
      <c r="B21" t="s">
        <v>1778</v>
      </c>
    </row>
    <row r="22" spans="1:2" x14ac:dyDescent="0.3">
      <c r="A22" t="s">
        <v>2207</v>
      </c>
      <c r="B22" t="s">
        <v>1642</v>
      </c>
    </row>
    <row r="23" spans="1:2" x14ac:dyDescent="0.3">
      <c r="A23" t="s">
        <v>2207</v>
      </c>
      <c r="B23" t="s">
        <v>1824</v>
      </c>
    </row>
    <row r="24" spans="1:2" x14ac:dyDescent="0.3">
      <c r="A24" t="s">
        <v>2207</v>
      </c>
      <c r="B24" t="s">
        <v>1640</v>
      </c>
    </row>
    <row r="25" spans="1:2" x14ac:dyDescent="0.3">
      <c r="A25" t="s">
        <v>2207</v>
      </c>
      <c r="B25" t="s">
        <v>1827</v>
      </c>
    </row>
    <row r="26" spans="1:2" x14ac:dyDescent="0.3">
      <c r="A26" t="s">
        <v>2207</v>
      </c>
      <c r="B26" t="s">
        <v>1683</v>
      </c>
    </row>
    <row r="27" spans="1:2" x14ac:dyDescent="0.3">
      <c r="A27" t="s">
        <v>2207</v>
      </c>
      <c r="B27" t="s">
        <v>1862</v>
      </c>
    </row>
    <row r="28" spans="1:2" x14ac:dyDescent="0.3">
      <c r="A28" t="s">
        <v>2207</v>
      </c>
      <c r="B28" t="s">
        <v>1802</v>
      </c>
    </row>
    <row r="29" spans="1:2" x14ac:dyDescent="0.3">
      <c r="A29" t="s">
        <v>2207</v>
      </c>
      <c r="B29" t="s">
        <v>796</v>
      </c>
    </row>
    <row r="30" spans="1:2" x14ac:dyDescent="0.3">
      <c r="A30" t="s">
        <v>2207</v>
      </c>
      <c r="B30" t="s">
        <v>1678</v>
      </c>
    </row>
    <row r="31" spans="1:2" x14ac:dyDescent="0.3">
      <c r="A31" t="s">
        <v>2207</v>
      </c>
      <c r="B31" t="s">
        <v>1774</v>
      </c>
    </row>
    <row r="32" spans="1:2" x14ac:dyDescent="0.3">
      <c r="A32" t="s">
        <v>2207</v>
      </c>
      <c r="B32" t="s">
        <v>1623</v>
      </c>
    </row>
    <row r="33" spans="1:2" x14ac:dyDescent="0.3">
      <c r="A33" t="s">
        <v>2207</v>
      </c>
      <c r="B33" t="s">
        <v>1628</v>
      </c>
    </row>
    <row r="34" spans="1:2" x14ac:dyDescent="0.3">
      <c r="A34" t="s">
        <v>2207</v>
      </c>
      <c r="B34" t="s">
        <v>1753</v>
      </c>
    </row>
    <row r="35" spans="1:2" x14ac:dyDescent="0.3">
      <c r="A35" t="s">
        <v>2207</v>
      </c>
      <c r="B35" t="s">
        <v>1620</v>
      </c>
    </row>
    <row r="36" spans="1:2" x14ac:dyDescent="0.3">
      <c r="A36" t="s">
        <v>2207</v>
      </c>
      <c r="B36" t="s">
        <v>1841</v>
      </c>
    </row>
    <row r="37" spans="1:2" x14ac:dyDescent="0.3">
      <c r="A37" t="s">
        <v>2207</v>
      </c>
      <c r="B37" t="s">
        <v>1750</v>
      </c>
    </row>
    <row r="38" spans="1:2" x14ac:dyDescent="0.3">
      <c r="A38" t="s">
        <v>2207</v>
      </c>
      <c r="B38" t="s">
        <v>1662</v>
      </c>
    </row>
    <row r="39" spans="1:2" x14ac:dyDescent="0.3">
      <c r="A39" t="s">
        <v>2207</v>
      </c>
      <c r="B39" t="s">
        <v>1701</v>
      </c>
    </row>
    <row r="40" spans="1:2" x14ac:dyDescent="0.3">
      <c r="A40" t="s">
        <v>2207</v>
      </c>
      <c r="B40" t="s">
        <v>1709</v>
      </c>
    </row>
    <row r="41" spans="1:2" x14ac:dyDescent="0.3">
      <c r="A41" t="s">
        <v>2207</v>
      </c>
      <c r="B41" t="s">
        <v>1738</v>
      </c>
    </row>
    <row r="42" spans="1:2" x14ac:dyDescent="0.3">
      <c r="A42" t="s">
        <v>2207</v>
      </c>
      <c r="B42" t="s">
        <v>1846</v>
      </c>
    </row>
    <row r="43" spans="1:2" x14ac:dyDescent="0.3">
      <c r="A43" t="s">
        <v>2207</v>
      </c>
      <c r="B43" t="s">
        <v>1809</v>
      </c>
    </row>
    <row r="44" spans="1:2" x14ac:dyDescent="0.3">
      <c r="A44" t="s">
        <v>2207</v>
      </c>
      <c r="B44" t="s">
        <v>1815</v>
      </c>
    </row>
    <row r="45" spans="1:2" x14ac:dyDescent="0.3">
      <c r="A45" t="s">
        <v>2207</v>
      </c>
      <c r="B45" t="s">
        <v>1615</v>
      </c>
    </row>
    <row r="46" spans="1:2" x14ac:dyDescent="0.3">
      <c r="A46" t="s">
        <v>2207</v>
      </c>
      <c r="B46" t="s">
        <v>1715</v>
      </c>
    </row>
    <row r="47" spans="1:2" x14ac:dyDescent="0.3">
      <c r="A47" t="s">
        <v>2207</v>
      </c>
      <c r="B47" t="s">
        <v>1672</v>
      </c>
    </row>
    <row r="48" spans="1:2" x14ac:dyDescent="0.3">
      <c r="A48" t="s">
        <v>2207</v>
      </c>
      <c r="B48" t="s">
        <v>1855</v>
      </c>
    </row>
    <row r="49" spans="1:2" x14ac:dyDescent="0.3">
      <c r="A49" t="s">
        <v>2207</v>
      </c>
      <c r="B49" t="s">
        <v>1089</v>
      </c>
    </row>
    <row r="50" spans="1:2" x14ac:dyDescent="0.3">
      <c r="A50" t="s">
        <v>2207</v>
      </c>
      <c r="B50" t="s">
        <v>1847</v>
      </c>
    </row>
    <row r="51" spans="1:2" x14ac:dyDescent="0.3">
      <c r="A51" t="s">
        <v>2207</v>
      </c>
      <c r="B51" t="s">
        <v>1689</v>
      </c>
    </row>
    <row r="52" spans="1:2" x14ac:dyDescent="0.3">
      <c r="A52" t="s">
        <v>2207</v>
      </c>
      <c r="B52" t="s">
        <v>1766</v>
      </c>
    </row>
    <row r="53" spans="1:2" x14ac:dyDescent="0.3">
      <c r="A53" t="s">
        <v>2207</v>
      </c>
      <c r="B53" t="s">
        <v>1707</v>
      </c>
    </row>
    <row r="54" spans="1:2" x14ac:dyDescent="0.3">
      <c r="A54" t="s">
        <v>2207</v>
      </c>
      <c r="B54" t="s">
        <v>1829</v>
      </c>
    </row>
    <row r="55" spans="1:2" x14ac:dyDescent="0.3">
      <c r="A55" t="s">
        <v>2207</v>
      </c>
      <c r="B55" t="s">
        <v>1783</v>
      </c>
    </row>
    <row r="56" spans="1:2" x14ac:dyDescent="0.3">
      <c r="A56" t="s">
        <v>2207</v>
      </c>
      <c r="B56" t="s">
        <v>1604</v>
      </c>
    </row>
    <row r="57" spans="1:2" x14ac:dyDescent="0.3">
      <c r="A57" t="s">
        <v>2207</v>
      </c>
      <c r="B57" t="s">
        <v>1600</v>
      </c>
    </row>
    <row r="58" spans="1:2" x14ac:dyDescent="0.3">
      <c r="A58" t="s">
        <v>2207</v>
      </c>
      <c r="B58" t="s">
        <v>1646</v>
      </c>
    </row>
    <row r="59" spans="1:2" x14ac:dyDescent="0.3">
      <c r="A59" t="s">
        <v>2207</v>
      </c>
      <c r="B59" t="s">
        <v>1764</v>
      </c>
    </row>
    <row r="60" spans="1:2" x14ac:dyDescent="0.3">
      <c r="A60" t="s">
        <v>2207</v>
      </c>
      <c r="B60" t="s">
        <v>1634</v>
      </c>
    </row>
    <row r="61" spans="1:2" x14ac:dyDescent="0.3">
      <c r="A61" t="s">
        <v>2207</v>
      </c>
      <c r="B61" t="s">
        <v>1703</v>
      </c>
    </row>
    <row r="62" spans="1:2" x14ac:dyDescent="0.3">
      <c r="A62" t="s">
        <v>2207</v>
      </c>
      <c r="B62" t="s">
        <v>517</v>
      </c>
    </row>
    <row r="63" spans="1:2" x14ac:dyDescent="0.3">
      <c r="A63" t="s">
        <v>2207</v>
      </c>
      <c r="B63" t="s">
        <v>1721</v>
      </c>
    </row>
    <row r="64" spans="1:2" x14ac:dyDescent="0.3">
      <c r="A64" t="s">
        <v>2207</v>
      </c>
      <c r="B64" t="s">
        <v>1711</v>
      </c>
    </row>
    <row r="65" spans="1:2" x14ac:dyDescent="0.3">
      <c r="A65" t="s">
        <v>2207</v>
      </c>
      <c r="B65" t="s">
        <v>1868</v>
      </c>
    </row>
    <row r="66" spans="1:2" x14ac:dyDescent="0.3">
      <c r="A66" t="s">
        <v>2207</v>
      </c>
      <c r="B66" t="s">
        <v>1843</v>
      </c>
    </row>
    <row r="67" spans="1:2" x14ac:dyDescent="0.3">
      <c r="A67" t="s">
        <v>2207</v>
      </c>
      <c r="B67" t="s">
        <v>1793</v>
      </c>
    </row>
    <row r="68" spans="1:2" x14ac:dyDescent="0.3">
      <c r="A68" t="s">
        <v>2207</v>
      </c>
      <c r="B68" t="s">
        <v>1834</v>
      </c>
    </row>
    <row r="69" spans="1:2" x14ac:dyDescent="0.3">
      <c r="A69" t="s">
        <v>2207</v>
      </c>
      <c r="B69" t="s">
        <v>1667</v>
      </c>
    </row>
    <row r="70" spans="1:2" x14ac:dyDescent="0.3">
      <c r="A70" t="s">
        <v>2207</v>
      </c>
      <c r="B70" t="s">
        <v>1695</v>
      </c>
    </row>
    <row r="71" spans="1:2" x14ac:dyDescent="0.3">
      <c r="A71" t="s">
        <v>2207</v>
      </c>
      <c r="B71" t="s">
        <v>1756</v>
      </c>
    </row>
    <row r="72" spans="1:2" x14ac:dyDescent="0.3">
      <c r="A72" t="s">
        <v>2207</v>
      </c>
      <c r="B72" t="s">
        <v>1629</v>
      </c>
    </row>
    <row r="73" spans="1:2" x14ac:dyDescent="0.3">
      <c r="A73" t="s">
        <v>2207</v>
      </c>
      <c r="B73" t="s">
        <v>1864</v>
      </c>
    </row>
    <row r="74" spans="1:2" x14ac:dyDescent="0.3">
      <c r="A74" t="s">
        <v>2207</v>
      </c>
      <c r="B74" t="s">
        <v>1852</v>
      </c>
    </row>
    <row r="75" spans="1:2" x14ac:dyDescent="0.3">
      <c r="A75" t="s">
        <v>2207</v>
      </c>
      <c r="B75" t="s">
        <v>1796</v>
      </c>
    </row>
    <row r="76" spans="1:2" x14ac:dyDescent="0.3">
      <c r="A76" t="s">
        <v>2207</v>
      </c>
      <c r="B76" t="s">
        <v>364</v>
      </c>
    </row>
    <row r="77" spans="1:2" x14ac:dyDescent="0.3">
      <c r="A77" t="s">
        <v>2207</v>
      </c>
      <c r="B77" t="s">
        <v>1751</v>
      </c>
    </row>
    <row r="78" spans="1:2" x14ac:dyDescent="0.3">
      <c r="A78" t="s">
        <v>2207</v>
      </c>
      <c r="B78" t="s">
        <v>1418</v>
      </c>
    </row>
    <row r="79" spans="1:2" x14ac:dyDescent="0.3">
      <c r="A79" t="s">
        <v>2207</v>
      </c>
      <c r="B79" t="s">
        <v>1822</v>
      </c>
    </row>
    <row r="80" spans="1:2" x14ac:dyDescent="0.3">
      <c r="A80" t="s">
        <v>2207</v>
      </c>
      <c r="B80" t="s">
        <v>1840</v>
      </c>
    </row>
    <row r="81" spans="1:2" x14ac:dyDescent="0.3">
      <c r="A81" t="s">
        <v>2207</v>
      </c>
      <c r="B81" t="s">
        <v>1726</v>
      </c>
    </row>
    <row r="82" spans="1:2" x14ac:dyDescent="0.3">
      <c r="A82" t="s">
        <v>2207</v>
      </c>
      <c r="B82" t="s">
        <v>1625</v>
      </c>
    </row>
    <row r="83" spans="1:2" x14ac:dyDescent="0.3">
      <c r="A83" t="s">
        <v>2207</v>
      </c>
      <c r="B83" t="s">
        <v>1636</v>
      </c>
    </row>
    <row r="84" spans="1:2" x14ac:dyDescent="0.3">
      <c r="A84" t="s">
        <v>2207</v>
      </c>
      <c r="B84" t="s">
        <v>1820</v>
      </c>
    </row>
    <row r="85" spans="1:2" x14ac:dyDescent="0.3">
      <c r="A85" t="s">
        <v>2207</v>
      </c>
      <c r="B85" t="s">
        <v>1786</v>
      </c>
    </row>
    <row r="86" spans="1:2" x14ac:dyDescent="0.3">
      <c r="A86" t="s">
        <v>2207</v>
      </c>
      <c r="B86" t="s">
        <v>1660</v>
      </c>
    </row>
    <row r="87" spans="1:2" x14ac:dyDescent="0.3">
      <c r="A87" t="s">
        <v>2207</v>
      </c>
      <c r="B87" t="s">
        <v>1733</v>
      </c>
    </row>
    <row r="88" spans="1:2" x14ac:dyDescent="0.3">
      <c r="A88" t="s">
        <v>2207</v>
      </c>
      <c r="B88" t="s">
        <v>1647</v>
      </c>
    </row>
    <row r="89" spans="1:2" x14ac:dyDescent="0.3">
      <c r="A89" t="s">
        <v>2207</v>
      </c>
      <c r="B89" t="s">
        <v>1831</v>
      </c>
    </row>
    <row r="90" spans="1:2" x14ac:dyDescent="0.3">
      <c r="A90" t="s">
        <v>2207</v>
      </c>
      <c r="B90" t="s">
        <v>1690</v>
      </c>
    </row>
    <row r="91" spans="1:2" x14ac:dyDescent="0.3">
      <c r="A91" t="s">
        <v>2207</v>
      </c>
      <c r="B91" t="s">
        <v>1724</v>
      </c>
    </row>
    <row r="92" spans="1:2" x14ac:dyDescent="0.3">
      <c r="A92" t="s">
        <v>2207</v>
      </c>
      <c r="B92" t="s">
        <v>1767</v>
      </c>
    </row>
    <row r="93" spans="1:2" x14ac:dyDescent="0.3">
      <c r="A93" t="s">
        <v>2207</v>
      </c>
      <c r="B93" t="s">
        <v>1805</v>
      </c>
    </row>
    <row r="94" spans="1:2" x14ac:dyDescent="0.3">
      <c r="A94" t="s">
        <v>2207</v>
      </c>
      <c r="B94" t="s">
        <v>1782</v>
      </c>
    </row>
    <row r="95" spans="1:2" x14ac:dyDescent="0.3">
      <c r="A95" t="s">
        <v>2207</v>
      </c>
      <c r="B95" t="s">
        <v>1601</v>
      </c>
    </row>
    <row r="96" spans="1:2" x14ac:dyDescent="0.3">
      <c r="A96" t="s">
        <v>2207</v>
      </c>
      <c r="B96" t="s">
        <v>1696</v>
      </c>
    </row>
    <row r="97" spans="1:2" x14ac:dyDescent="0.3">
      <c r="A97" t="s">
        <v>2207</v>
      </c>
      <c r="B97" t="s">
        <v>1656</v>
      </c>
    </row>
    <row r="98" spans="1:2" x14ac:dyDescent="0.3">
      <c r="A98" t="s">
        <v>2207</v>
      </c>
      <c r="B98" t="s">
        <v>1626</v>
      </c>
    </row>
    <row r="99" spans="1:2" x14ac:dyDescent="0.3">
      <c r="A99" t="s">
        <v>2207</v>
      </c>
      <c r="B99" t="s">
        <v>1857</v>
      </c>
    </row>
    <row r="100" spans="1:2" x14ac:dyDescent="0.3">
      <c r="A100" t="s">
        <v>2207</v>
      </c>
      <c r="B100" t="s">
        <v>1776</v>
      </c>
    </row>
    <row r="101" spans="1:2" x14ac:dyDescent="0.3">
      <c r="A101" t="s">
        <v>2207</v>
      </c>
      <c r="B101" t="s">
        <v>1762</v>
      </c>
    </row>
    <row r="102" spans="1:2" x14ac:dyDescent="0.3">
      <c r="A102" t="s">
        <v>2207</v>
      </c>
      <c r="B102" t="s">
        <v>1878</v>
      </c>
    </row>
    <row r="103" spans="1:2" x14ac:dyDescent="0.3">
      <c r="A103" t="s">
        <v>2207</v>
      </c>
      <c r="B103" t="s">
        <v>1785</v>
      </c>
    </row>
    <row r="104" spans="1:2" x14ac:dyDescent="0.3">
      <c r="A104" t="s">
        <v>2207</v>
      </c>
      <c r="B104" t="s">
        <v>1879</v>
      </c>
    </row>
    <row r="105" spans="1:2" x14ac:dyDescent="0.3">
      <c r="A105" t="s">
        <v>2207</v>
      </c>
      <c r="B105" t="s">
        <v>1844</v>
      </c>
    </row>
    <row r="106" spans="1:2" x14ac:dyDescent="0.3">
      <c r="A106" t="s">
        <v>2207</v>
      </c>
      <c r="B106" t="s">
        <v>1621</v>
      </c>
    </row>
    <row r="107" spans="1:2" x14ac:dyDescent="0.3">
      <c r="A107" t="s">
        <v>2207</v>
      </c>
      <c r="B107" t="s">
        <v>1631</v>
      </c>
    </row>
    <row r="108" spans="1:2" x14ac:dyDescent="0.3">
      <c r="A108" t="s">
        <v>2207</v>
      </c>
      <c r="B108" t="s">
        <v>1716</v>
      </c>
    </row>
    <row r="109" spans="1:2" x14ac:dyDescent="0.3">
      <c r="A109" t="s">
        <v>2207</v>
      </c>
      <c r="B109" t="s">
        <v>1737</v>
      </c>
    </row>
    <row r="110" spans="1:2" x14ac:dyDescent="0.3">
      <c r="A110" t="s">
        <v>2207</v>
      </c>
      <c r="B110" t="s">
        <v>1859</v>
      </c>
    </row>
    <row r="111" spans="1:2" x14ac:dyDescent="0.3">
      <c r="A111" t="s">
        <v>2207</v>
      </c>
      <c r="B111" t="s">
        <v>1657</v>
      </c>
    </row>
    <row r="112" spans="1:2" x14ac:dyDescent="0.3">
      <c r="A112" t="s">
        <v>2207</v>
      </c>
      <c r="B112" t="s">
        <v>1811</v>
      </c>
    </row>
    <row r="113" spans="1:2" x14ac:dyDescent="0.3">
      <c r="A113" t="s">
        <v>2207</v>
      </c>
      <c r="B113" t="s">
        <v>1697</v>
      </c>
    </row>
    <row r="114" spans="1:2" x14ac:dyDescent="0.3">
      <c r="A114" t="s">
        <v>2207</v>
      </c>
      <c r="B114" t="s">
        <v>1821</v>
      </c>
    </row>
    <row r="115" spans="1:2" x14ac:dyDescent="0.3">
      <c r="A115" t="s">
        <v>2207</v>
      </c>
      <c r="B115" t="s">
        <v>1663</v>
      </c>
    </row>
    <row r="116" spans="1:2" x14ac:dyDescent="0.3">
      <c r="A116" t="s">
        <v>2207</v>
      </c>
      <c r="B116" t="s">
        <v>1686</v>
      </c>
    </row>
    <row r="117" spans="1:2" x14ac:dyDescent="0.3">
      <c r="A117" t="s">
        <v>2207</v>
      </c>
      <c r="B117" t="s">
        <v>1789</v>
      </c>
    </row>
    <row r="118" spans="1:2" x14ac:dyDescent="0.3">
      <c r="A118" t="s">
        <v>2207</v>
      </c>
      <c r="B118" t="s">
        <v>1795</v>
      </c>
    </row>
    <row r="119" spans="1:2" x14ac:dyDescent="0.3">
      <c r="A119" t="s">
        <v>2207</v>
      </c>
      <c r="B119" t="s">
        <v>1608</v>
      </c>
    </row>
    <row r="120" spans="1:2" x14ac:dyDescent="0.3">
      <c r="A120" t="s">
        <v>2207</v>
      </c>
      <c r="B120" t="s">
        <v>1488</v>
      </c>
    </row>
    <row r="121" spans="1:2" x14ac:dyDescent="0.3">
      <c r="A121" t="s">
        <v>2207</v>
      </c>
      <c r="B121" t="s">
        <v>1860</v>
      </c>
    </row>
    <row r="122" spans="1:2" x14ac:dyDescent="0.3">
      <c r="A122" t="s">
        <v>2207</v>
      </c>
      <c r="B122" t="s">
        <v>1880</v>
      </c>
    </row>
    <row r="123" spans="1:2" x14ac:dyDescent="0.3">
      <c r="A123" t="s">
        <v>2207</v>
      </c>
      <c r="B123" t="s">
        <v>1679</v>
      </c>
    </row>
    <row r="124" spans="1:2" x14ac:dyDescent="0.3">
      <c r="A124" t="s">
        <v>2207</v>
      </c>
      <c r="B124" t="s">
        <v>1673</v>
      </c>
    </row>
    <row r="125" spans="1:2" x14ac:dyDescent="0.3">
      <c r="A125" t="s">
        <v>2207</v>
      </c>
      <c r="B125" t="s">
        <v>1790</v>
      </c>
    </row>
    <row r="126" spans="1:2" x14ac:dyDescent="0.3">
      <c r="A126" t="s">
        <v>2207</v>
      </c>
      <c r="B126" t="s">
        <v>1613</v>
      </c>
    </row>
    <row r="127" spans="1:2" x14ac:dyDescent="0.3">
      <c r="A127" t="s">
        <v>2207</v>
      </c>
      <c r="B127" t="s">
        <v>1242</v>
      </c>
    </row>
    <row r="128" spans="1:2" x14ac:dyDescent="0.3">
      <c r="A128" t="s">
        <v>2207</v>
      </c>
      <c r="B128" t="s">
        <v>1730</v>
      </c>
    </row>
    <row r="129" spans="1:2" x14ac:dyDescent="0.3">
      <c r="A129" t="s">
        <v>2207</v>
      </c>
      <c r="B129" t="s">
        <v>1602</v>
      </c>
    </row>
    <row r="130" spans="1:2" x14ac:dyDescent="0.3">
      <c r="A130" t="s">
        <v>2207</v>
      </c>
      <c r="B130" t="s">
        <v>1828</v>
      </c>
    </row>
    <row r="131" spans="1:2" x14ac:dyDescent="0.3">
      <c r="A131" t="s">
        <v>2207</v>
      </c>
      <c r="B131" t="s">
        <v>1806</v>
      </c>
    </row>
    <row r="132" spans="1:2" x14ac:dyDescent="0.3">
      <c r="A132" t="s">
        <v>2207</v>
      </c>
      <c r="B132" t="s">
        <v>1670</v>
      </c>
    </row>
    <row r="133" spans="1:2" x14ac:dyDescent="0.3">
      <c r="A133" t="s">
        <v>2207</v>
      </c>
      <c r="B133" t="s">
        <v>1684</v>
      </c>
    </row>
    <row r="134" spans="1:2" x14ac:dyDescent="0.3">
      <c r="A134" t="s">
        <v>2207</v>
      </c>
      <c r="B134" t="s">
        <v>1603</v>
      </c>
    </row>
    <row r="135" spans="1:2" x14ac:dyDescent="0.3">
      <c r="A135" t="s">
        <v>2207</v>
      </c>
      <c r="B135" t="s">
        <v>1770</v>
      </c>
    </row>
    <row r="136" spans="1:2" x14ac:dyDescent="0.3">
      <c r="A136" t="s">
        <v>2207</v>
      </c>
      <c r="B136" t="s">
        <v>1792</v>
      </c>
    </row>
    <row r="137" spans="1:2" x14ac:dyDescent="0.3">
      <c r="A137" t="s">
        <v>2207</v>
      </c>
      <c r="B137" t="s">
        <v>1745</v>
      </c>
    </row>
    <row r="138" spans="1:2" x14ac:dyDescent="0.3">
      <c r="A138" t="s">
        <v>2207</v>
      </c>
      <c r="B138" t="s">
        <v>1735</v>
      </c>
    </row>
    <row r="139" spans="1:2" x14ac:dyDescent="0.3">
      <c r="A139" t="s">
        <v>2207</v>
      </c>
      <c r="B139" t="s">
        <v>1804</v>
      </c>
    </row>
    <row r="140" spans="1:2" x14ac:dyDescent="0.3">
      <c r="A140" t="s">
        <v>2207</v>
      </c>
      <c r="B140" t="s">
        <v>1671</v>
      </c>
    </row>
    <row r="141" spans="1:2" x14ac:dyDescent="0.3">
      <c r="A141" t="s">
        <v>2207</v>
      </c>
      <c r="B141" t="s">
        <v>1669</v>
      </c>
    </row>
    <row r="142" spans="1:2" x14ac:dyDescent="0.3">
      <c r="A142" t="s">
        <v>2207</v>
      </c>
      <c r="B142" t="s">
        <v>1800</v>
      </c>
    </row>
    <row r="143" spans="1:2" x14ac:dyDescent="0.3">
      <c r="A143" t="s">
        <v>2207</v>
      </c>
      <c r="B143" t="s">
        <v>1748</v>
      </c>
    </row>
    <row r="144" spans="1:2" x14ac:dyDescent="0.3">
      <c r="A144" t="s">
        <v>2207</v>
      </c>
      <c r="B144" t="s">
        <v>1682</v>
      </c>
    </row>
    <row r="145" spans="1:2" x14ac:dyDescent="0.3">
      <c r="A145" t="s">
        <v>2207</v>
      </c>
      <c r="B145" t="s">
        <v>1614</v>
      </c>
    </row>
    <row r="146" spans="1:2" x14ac:dyDescent="0.3">
      <c r="A146" t="s">
        <v>2207</v>
      </c>
      <c r="B146" t="s">
        <v>1867</v>
      </c>
    </row>
    <row r="147" spans="1:2" x14ac:dyDescent="0.3">
      <c r="A147" t="s">
        <v>2207</v>
      </c>
      <c r="B147" t="s">
        <v>1713</v>
      </c>
    </row>
    <row r="148" spans="1:2" x14ac:dyDescent="0.3">
      <c r="A148" t="s">
        <v>2207</v>
      </c>
      <c r="B148" t="s">
        <v>1411</v>
      </c>
    </row>
    <row r="149" spans="1:2" x14ac:dyDescent="0.3">
      <c r="A149" t="s">
        <v>2207</v>
      </c>
      <c r="B149" t="s">
        <v>1763</v>
      </c>
    </row>
    <row r="150" spans="1:2" x14ac:dyDescent="0.3">
      <c r="A150" t="s">
        <v>2207</v>
      </c>
      <c r="B150" t="s">
        <v>1664</v>
      </c>
    </row>
    <row r="151" spans="1:2" x14ac:dyDescent="0.3">
      <c r="A151" t="s">
        <v>2207</v>
      </c>
      <c r="B151" t="s">
        <v>1779</v>
      </c>
    </row>
    <row r="152" spans="1:2" x14ac:dyDescent="0.3">
      <c r="A152" t="s">
        <v>2207</v>
      </c>
      <c r="B152" t="s">
        <v>1675</v>
      </c>
    </row>
    <row r="153" spans="1:2" x14ac:dyDescent="0.3">
      <c r="A153" t="s">
        <v>2207</v>
      </c>
      <c r="B153" t="s">
        <v>1700</v>
      </c>
    </row>
    <row r="154" spans="1:2" x14ac:dyDescent="0.3">
      <c r="A154" t="s">
        <v>2207</v>
      </c>
      <c r="B154" t="s">
        <v>1777</v>
      </c>
    </row>
    <row r="155" spans="1:2" x14ac:dyDescent="0.3">
      <c r="A155" t="s">
        <v>2207</v>
      </c>
      <c r="B155" t="s">
        <v>1872</v>
      </c>
    </row>
    <row r="156" spans="1:2" x14ac:dyDescent="0.3">
      <c r="A156" t="s">
        <v>2207</v>
      </c>
      <c r="B156" t="s">
        <v>1694</v>
      </c>
    </row>
    <row r="157" spans="1:2" x14ac:dyDescent="0.3">
      <c r="A157" t="s">
        <v>2207</v>
      </c>
      <c r="B157" t="s">
        <v>1619</v>
      </c>
    </row>
    <row r="158" spans="1:2" x14ac:dyDescent="0.3">
      <c r="A158" t="s">
        <v>2207</v>
      </c>
      <c r="B158" t="s">
        <v>1643</v>
      </c>
    </row>
    <row r="159" spans="1:2" x14ac:dyDescent="0.3">
      <c r="A159" t="s">
        <v>2207</v>
      </c>
      <c r="B159" t="s">
        <v>1787</v>
      </c>
    </row>
    <row r="160" spans="1:2" x14ac:dyDescent="0.3">
      <c r="A160" t="s">
        <v>2207</v>
      </c>
      <c r="B160" t="s">
        <v>1666</v>
      </c>
    </row>
    <row r="161" spans="1:2" x14ac:dyDescent="0.3">
      <c r="A161" t="s">
        <v>2207</v>
      </c>
      <c r="B161" t="s">
        <v>112</v>
      </c>
    </row>
    <row r="162" spans="1:2" x14ac:dyDescent="0.3">
      <c r="A162" t="s">
        <v>2207</v>
      </c>
      <c r="B162" t="s">
        <v>1771</v>
      </c>
    </row>
    <row r="163" spans="1:2" x14ac:dyDescent="0.3">
      <c r="A163" t="s">
        <v>2207</v>
      </c>
      <c r="B163" t="s">
        <v>1874</v>
      </c>
    </row>
    <row r="164" spans="1:2" x14ac:dyDescent="0.3">
      <c r="A164" t="s">
        <v>2207</v>
      </c>
      <c r="B164" t="s">
        <v>1702</v>
      </c>
    </row>
    <row r="165" spans="1:2" x14ac:dyDescent="0.3">
      <c r="A165" t="s">
        <v>2207</v>
      </c>
      <c r="B165" t="s">
        <v>1837</v>
      </c>
    </row>
    <row r="166" spans="1:2" x14ac:dyDescent="0.3">
      <c r="A166" t="s">
        <v>2207</v>
      </c>
      <c r="B166" t="s">
        <v>1794</v>
      </c>
    </row>
    <row r="167" spans="1:2" x14ac:dyDescent="0.3">
      <c r="A167" t="s">
        <v>2207</v>
      </c>
      <c r="B167" t="s">
        <v>1688</v>
      </c>
    </row>
    <row r="168" spans="1:2" x14ac:dyDescent="0.3">
      <c r="A168" t="s">
        <v>2207</v>
      </c>
      <c r="B168" t="s">
        <v>1705</v>
      </c>
    </row>
    <row r="169" spans="1:2" x14ac:dyDescent="0.3">
      <c r="A169" t="s">
        <v>2207</v>
      </c>
      <c r="B169" t="s">
        <v>1773</v>
      </c>
    </row>
    <row r="170" spans="1:2" x14ac:dyDescent="0.3">
      <c r="A170" t="s">
        <v>2207</v>
      </c>
      <c r="B170" t="s">
        <v>1823</v>
      </c>
    </row>
    <row r="171" spans="1:2" x14ac:dyDescent="0.3">
      <c r="A171" t="s">
        <v>2207</v>
      </c>
      <c r="B171" t="s">
        <v>1649</v>
      </c>
    </row>
    <row r="172" spans="1:2" x14ac:dyDescent="0.3">
      <c r="A172" t="s">
        <v>2207</v>
      </c>
      <c r="B172" t="s">
        <v>1607</v>
      </c>
    </row>
    <row r="173" spans="1:2" x14ac:dyDescent="0.3">
      <c r="A173" t="s">
        <v>2207</v>
      </c>
      <c r="B173" t="s">
        <v>1659</v>
      </c>
    </row>
    <row r="174" spans="1:2" x14ac:dyDescent="0.3">
      <c r="A174" t="s">
        <v>2207</v>
      </c>
      <c r="B174" t="s">
        <v>1712</v>
      </c>
    </row>
    <row r="175" spans="1:2" x14ac:dyDescent="0.3">
      <c r="A175" t="s">
        <v>2207</v>
      </c>
      <c r="B175" t="s">
        <v>1641</v>
      </c>
    </row>
    <row r="176" spans="1:2" x14ac:dyDescent="0.3">
      <c r="A176" t="s">
        <v>2207</v>
      </c>
      <c r="B176" t="s">
        <v>1838</v>
      </c>
    </row>
    <row r="177" spans="1:2" x14ac:dyDescent="0.3">
      <c r="A177" t="s">
        <v>2207</v>
      </c>
      <c r="B177" t="s">
        <v>1858</v>
      </c>
    </row>
    <row r="178" spans="1:2" x14ac:dyDescent="0.3">
      <c r="A178" t="s">
        <v>2207</v>
      </c>
      <c r="B178" t="s">
        <v>1876</v>
      </c>
    </row>
    <row r="179" spans="1:2" x14ac:dyDescent="0.3">
      <c r="A179" t="s">
        <v>2207</v>
      </c>
      <c r="B179" t="s">
        <v>1755</v>
      </c>
    </row>
    <row r="180" spans="1:2" x14ac:dyDescent="0.3">
      <c r="A180" t="s">
        <v>2207</v>
      </c>
      <c r="B180" t="s">
        <v>1759</v>
      </c>
    </row>
    <row r="181" spans="1:2" x14ac:dyDescent="0.3">
      <c r="A181" t="s">
        <v>2207</v>
      </c>
      <c r="B181" t="s">
        <v>1635</v>
      </c>
    </row>
    <row r="182" spans="1:2" x14ac:dyDescent="0.3">
      <c r="A182" t="s">
        <v>2207</v>
      </c>
      <c r="B182" t="s">
        <v>1611</v>
      </c>
    </row>
    <row r="183" spans="1:2" x14ac:dyDescent="0.3">
      <c r="A183" t="s">
        <v>2207</v>
      </c>
      <c r="B183" t="s">
        <v>1833</v>
      </c>
    </row>
    <row r="184" spans="1:2" x14ac:dyDescent="0.3">
      <c r="A184" t="s">
        <v>2207</v>
      </c>
      <c r="B184" t="s">
        <v>1727</v>
      </c>
    </row>
    <row r="185" spans="1:2" x14ac:dyDescent="0.3">
      <c r="A185" t="s">
        <v>2207</v>
      </c>
      <c r="B185" t="s">
        <v>1869</v>
      </c>
    </row>
    <row r="186" spans="1:2" x14ac:dyDescent="0.3">
      <c r="A186" t="s">
        <v>2207</v>
      </c>
      <c r="B186" t="s">
        <v>1835</v>
      </c>
    </row>
    <row r="187" spans="1:2" x14ac:dyDescent="0.3">
      <c r="A187" t="s">
        <v>2207</v>
      </c>
      <c r="B187" t="s">
        <v>1652</v>
      </c>
    </row>
    <row r="188" spans="1:2" x14ac:dyDescent="0.3">
      <c r="A188" t="s">
        <v>2207</v>
      </c>
      <c r="B188" t="s">
        <v>1819</v>
      </c>
    </row>
    <row r="189" spans="1:2" x14ac:dyDescent="0.3">
      <c r="A189" t="s">
        <v>2207</v>
      </c>
      <c r="B189" t="s">
        <v>1739</v>
      </c>
    </row>
    <row r="190" spans="1:2" x14ac:dyDescent="0.3">
      <c r="A190" t="s">
        <v>2207</v>
      </c>
      <c r="B190" t="s">
        <v>1816</v>
      </c>
    </row>
    <row r="191" spans="1:2" x14ac:dyDescent="0.3">
      <c r="A191" t="s">
        <v>2207</v>
      </c>
      <c r="B191" t="s">
        <v>1693</v>
      </c>
    </row>
    <row r="192" spans="1:2" x14ac:dyDescent="0.3">
      <c r="A192" t="s">
        <v>2207</v>
      </c>
      <c r="B192" t="s">
        <v>1674</v>
      </c>
    </row>
    <row r="193" spans="1:2" x14ac:dyDescent="0.3">
      <c r="A193" t="s">
        <v>2207</v>
      </c>
      <c r="B193" t="s">
        <v>1627</v>
      </c>
    </row>
    <row r="194" spans="1:2" x14ac:dyDescent="0.3">
      <c r="A194" t="s">
        <v>2207</v>
      </c>
      <c r="B194" t="s">
        <v>1757</v>
      </c>
    </row>
    <row r="195" spans="1:2" x14ac:dyDescent="0.3">
      <c r="A195" t="s">
        <v>2207</v>
      </c>
      <c r="B195" t="s">
        <v>1744</v>
      </c>
    </row>
    <row r="196" spans="1:2" x14ac:dyDescent="0.3">
      <c r="A196" t="s">
        <v>2207</v>
      </c>
      <c r="B196" t="s">
        <v>1747</v>
      </c>
    </row>
    <row r="197" spans="1:2" x14ac:dyDescent="0.3">
      <c r="A197" t="s">
        <v>2207</v>
      </c>
      <c r="B197" t="s">
        <v>1812</v>
      </c>
    </row>
    <row r="198" spans="1:2" x14ac:dyDescent="0.3">
      <c r="A198" t="s">
        <v>2207</v>
      </c>
      <c r="B198" t="s">
        <v>1749</v>
      </c>
    </row>
    <row r="199" spans="1:2" x14ac:dyDescent="0.3">
      <c r="A199" t="s">
        <v>2207</v>
      </c>
      <c r="B199" t="s">
        <v>1661</v>
      </c>
    </row>
    <row r="200" spans="1:2" x14ac:dyDescent="0.3">
      <c r="A200" t="s">
        <v>2207</v>
      </c>
      <c r="B200" t="s">
        <v>1875</v>
      </c>
    </row>
    <row r="201" spans="1:2" x14ac:dyDescent="0.3">
      <c r="A201" t="s">
        <v>2207</v>
      </c>
      <c r="B201" t="s">
        <v>1866</v>
      </c>
    </row>
    <row r="202" spans="1:2" x14ac:dyDescent="0.3">
      <c r="A202" t="s">
        <v>2207</v>
      </c>
      <c r="B202" t="s">
        <v>1676</v>
      </c>
    </row>
    <row r="203" spans="1:2" x14ac:dyDescent="0.3">
      <c r="A203" t="s">
        <v>2207</v>
      </c>
      <c r="B203" t="s">
        <v>1775</v>
      </c>
    </row>
    <row r="204" spans="1:2" x14ac:dyDescent="0.3">
      <c r="A204" t="s">
        <v>2207</v>
      </c>
      <c r="B204" t="s">
        <v>1618</v>
      </c>
    </row>
    <row r="205" spans="1:2" x14ac:dyDescent="0.3">
      <c r="A205" t="s">
        <v>2207</v>
      </c>
      <c r="B205" t="s">
        <v>1710</v>
      </c>
    </row>
    <row r="206" spans="1:2" x14ac:dyDescent="0.3">
      <c r="A206" t="s">
        <v>2207</v>
      </c>
      <c r="B206" t="s">
        <v>742</v>
      </c>
    </row>
    <row r="207" spans="1:2" x14ac:dyDescent="0.3">
      <c r="A207" t="s">
        <v>2207</v>
      </c>
      <c r="B207" t="s">
        <v>1729</v>
      </c>
    </row>
    <row r="208" spans="1:2" x14ac:dyDescent="0.3">
      <c r="A208" t="s">
        <v>2207</v>
      </c>
      <c r="B208" t="s">
        <v>1616</v>
      </c>
    </row>
    <row r="209" spans="1:2" x14ac:dyDescent="0.3">
      <c r="A209" t="s">
        <v>2207</v>
      </c>
      <c r="B209" t="s">
        <v>1865</v>
      </c>
    </row>
    <row r="210" spans="1:2" x14ac:dyDescent="0.3">
      <c r="A210" t="s">
        <v>2207</v>
      </c>
      <c r="B210" t="s">
        <v>1639</v>
      </c>
    </row>
    <row r="211" spans="1:2" x14ac:dyDescent="0.3">
      <c r="A211" t="s">
        <v>2207</v>
      </c>
      <c r="B211" t="s">
        <v>1863</v>
      </c>
    </row>
    <row r="212" spans="1:2" x14ac:dyDescent="0.3">
      <c r="A212" t="s">
        <v>2207</v>
      </c>
      <c r="B212" t="s">
        <v>1780</v>
      </c>
    </row>
    <row r="213" spans="1:2" x14ac:dyDescent="0.3">
      <c r="A213" t="s">
        <v>2207</v>
      </c>
      <c r="B213" t="s">
        <v>1808</v>
      </c>
    </row>
    <row r="214" spans="1:2" x14ac:dyDescent="0.3">
      <c r="A214" t="s">
        <v>2207</v>
      </c>
      <c r="B214" t="s">
        <v>1612</v>
      </c>
    </row>
    <row r="215" spans="1:2" x14ac:dyDescent="0.3">
      <c r="A215" t="s">
        <v>2207</v>
      </c>
      <c r="B215" t="s">
        <v>1698</v>
      </c>
    </row>
    <row r="216" spans="1:2" x14ac:dyDescent="0.3">
      <c r="A216" t="s">
        <v>2207</v>
      </c>
      <c r="B216" t="s">
        <v>1681</v>
      </c>
    </row>
    <row r="217" spans="1:2" x14ac:dyDescent="0.3">
      <c r="A217" t="s">
        <v>2207</v>
      </c>
      <c r="B217" t="s">
        <v>1722</v>
      </c>
    </row>
    <row r="218" spans="1:2" x14ac:dyDescent="0.3">
      <c r="A218" t="s">
        <v>2207</v>
      </c>
      <c r="B218" t="s">
        <v>1851</v>
      </c>
    </row>
    <row r="219" spans="1:2" x14ac:dyDescent="0.3">
      <c r="A219" t="s">
        <v>2207</v>
      </c>
      <c r="B219" t="s">
        <v>1605</v>
      </c>
    </row>
    <row r="220" spans="1:2" x14ac:dyDescent="0.3">
      <c r="A220" t="s">
        <v>2207</v>
      </c>
      <c r="B220" t="s">
        <v>1622</v>
      </c>
    </row>
    <row r="221" spans="1:2" x14ac:dyDescent="0.3">
      <c r="A221" t="s">
        <v>2207</v>
      </c>
      <c r="B221" t="s">
        <v>1746</v>
      </c>
    </row>
    <row r="222" spans="1:2" x14ac:dyDescent="0.3">
      <c r="A222" t="s">
        <v>2207</v>
      </c>
      <c r="B222" t="s">
        <v>1708</v>
      </c>
    </row>
    <row r="223" spans="1:2" x14ac:dyDescent="0.3">
      <c r="A223" t="s">
        <v>2207</v>
      </c>
      <c r="B223" t="s">
        <v>1856</v>
      </c>
    </row>
    <row r="224" spans="1:2" x14ac:dyDescent="0.3">
      <c r="A224" t="s">
        <v>2207</v>
      </c>
      <c r="B224" t="s">
        <v>1743</v>
      </c>
    </row>
    <row r="225" spans="1:2" x14ac:dyDescent="0.3">
      <c r="A225" t="s">
        <v>2207</v>
      </c>
      <c r="B225" t="s">
        <v>1845</v>
      </c>
    </row>
    <row r="226" spans="1:2" x14ac:dyDescent="0.3">
      <c r="A226" t="s">
        <v>2207</v>
      </c>
      <c r="B226" t="s">
        <v>1732</v>
      </c>
    </row>
    <row r="227" spans="1:2" x14ac:dyDescent="0.3">
      <c r="A227" t="s">
        <v>2207</v>
      </c>
      <c r="B227" t="s">
        <v>1651</v>
      </c>
    </row>
    <row r="228" spans="1:2" x14ac:dyDescent="0.3">
      <c r="A228" t="s">
        <v>2207</v>
      </c>
      <c r="B228" t="s">
        <v>1654</v>
      </c>
    </row>
    <row r="229" spans="1:2" x14ac:dyDescent="0.3">
      <c r="A229" t="s">
        <v>2207</v>
      </c>
      <c r="B229" t="s">
        <v>1638</v>
      </c>
    </row>
    <row r="230" spans="1:2" x14ac:dyDescent="0.3">
      <c r="A230" t="s">
        <v>2207</v>
      </c>
      <c r="B230" t="s">
        <v>1680</v>
      </c>
    </row>
    <row r="231" spans="1:2" x14ac:dyDescent="0.3">
      <c r="A231" t="s">
        <v>2207</v>
      </c>
      <c r="B231" t="s">
        <v>1836</v>
      </c>
    </row>
    <row r="232" spans="1:2" x14ac:dyDescent="0.3">
      <c r="A232" t="s">
        <v>2207</v>
      </c>
      <c r="B232" t="s">
        <v>1873</v>
      </c>
    </row>
    <row r="233" spans="1:2" x14ac:dyDescent="0.3">
      <c r="A233" t="s">
        <v>2207</v>
      </c>
      <c r="B233" t="s">
        <v>1668</v>
      </c>
    </row>
    <row r="234" spans="1:2" x14ac:dyDescent="0.3">
      <c r="A234" t="s">
        <v>2207</v>
      </c>
      <c r="B234" t="s">
        <v>1734</v>
      </c>
    </row>
    <row r="235" spans="1:2" x14ac:dyDescent="0.3">
      <c r="A235" t="s">
        <v>2207</v>
      </c>
      <c r="B235" t="s">
        <v>1699</v>
      </c>
    </row>
    <row r="236" spans="1:2" x14ac:dyDescent="0.3">
      <c r="A236" t="s">
        <v>2207</v>
      </c>
      <c r="B236" t="s">
        <v>1817</v>
      </c>
    </row>
    <row r="237" spans="1:2" x14ac:dyDescent="0.3">
      <c r="A237" t="s">
        <v>2207</v>
      </c>
      <c r="B237" t="s">
        <v>1706</v>
      </c>
    </row>
    <row r="238" spans="1:2" x14ac:dyDescent="0.3">
      <c r="A238" t="s">
        <v>2207</v>
      </c>
      <c r="B238" t="s">
        <v>1644</v>
      </c>
    </row>
    <row r="239" spans="1:2" x14ac:dyDescent="0.3">
      <c r="A239" t="s">
        <v>2207</v>
      </c>
      <c r="B239" t="s">
        <v>1798</v>
      </c>
    </row>
    <row r="240" spans="1:2" x14ac:dyDescent="0.3">
      <c r="A240" t="s">
        <v>2207</v>
      </c>
      <c r="B240" t="s">
        <v>1444</v>
      </c>
    </row>
    <row r="241" spans="1:2" x14ac:dyDescent="0.3">
      <c r="A241" t="s">
        <v>2207</v>
      </c>
      <c r="B241" t="s">
        <v>1797</v>
      </c>
    </row>
    <row r="242" spans="1:2" x14ac:dyDescent="0.3">
      <c r="A242" t="s">
        <v>2207</v>
      </c>
      <c r="B242" t="s">
        <v>1650</v>
      </c>
    </row>
    <row r="243" spans="1:2" x14ac:dyDescent="0.3">
      <c r="A243" t="s">
        <v>2207</v>
      </c>
      <c r="B243" t="s">
        <v>1839</v>
      </c>
    </row>
    <row r="244" spans="1:2" x14ac:dyDescent="0.3">
      <c r="A244" t="s">
        <v>2207</v>
      </c>
      <c r="B244" t="s">
        <v>1842</v>
      </c>
    </row>
    <row r="245" spans="1:2" x14ac:dyDescent="0.3">
      <c r="A245" t="s">
        <v>2207</v>
      </c>
      <c r="B245" t="s">
        <v>1637</v>
      </c>
    </row>
    <row r="246" spans="1:2" x14ac:dyDescent="0.3">
      <c r="A246" t="s">
        <v>2207</v>
      </c>
      <c r="B246" t="s">
        <v>1861</v>
      </c>
    </row>
    <row r="247" spans="1:2" x14ac:dyDescent="0.3">
      <c r="A247" t="s">
        <v>2207</v>
      </c>
      <c r="B247" t="s">
        <v>780</v>
      </c>
    </row>
    <row r="248" spans="1:2" x14ac:dyDescent="0.3">
      <c r="A248" t="s">
        <v>2207</v>
      </c>
      <c r="B248" t="s">
        <v>1606</v>
      </c>
    </row>
    <row r="249" spans="1:2" x14ac:dyDescent="0.3">
      <c r="A249" t="s">
        <v>2207</v>
      </c>
      <c r="B249" t="s">
        <v>1765</v>
      </c>
    </row>
    <row r="250" spans="1:2" x14ac:dyDescent="0.3">
      <c r="A250" t="s">
        <v>2207</v>
      </c>
      <c r="B250" t="s">
        <v>1877</v>
      </c>
    </row>
    <row r="251" spans="1:2" x14ac:dyDescent="0.3">
      <c r="A251" t="s">
        <v>2207</v>
      </c>
      <c r="B251" t="s">
        <v>1881</v>
      </c>
    </row>
    <row r="252" spans="1:2" x14ac:dyDescent="0.3">
      <c r="A252" t="s">
        <v>2207</v>
      </c>
      <c r="B252" t="s">
        <v>1883</v>
      </c>
    </row>
    <row r="253" spans="1:2" x14ac:dyDescent="0.3">
      <c r="A253" t="s">
        <v>2207</v>
      </c>
      <c r="B253" t="s">
        <v>1772</v>
      </c>
    </row>
    <row r="254" spans="1:2" x14ac:dyDescent="0.3">
      <c r="A254" t="s">
        <v>2207</v>
      </c>
      <c r="B254" t="s">
        <v>1728</v>
      </c>
    </row>
    <row r="255" spans="1:2" x14ac:dyDescent="0.3">
      <c r="A255" t="s">
        <v>2207</v>
      </c>
      <c r="B255" t="s">
        <v>1761</v>
      </c>
    </row>
    <row r="256" spans="1:2" x14ac:dyDescent="0.3">
      <c r="A256" t="s">
        <v>2207</v>
      </c>
      <c r="B256" t="s">
        <v>1760</v>
      </c>
    </row>
    <row r="257" spans="1:2" x14ac:dyDescent="0.3">
      <c r="A257" t="s">
        <v>2207</v>
      </c>
      <c r="B257" t="s">
        <v>1718</v>
      </c>
    </row>
    <row r="258" spans="1:2" x14ac:dyDescent="0.3">
      <c r="A258" t="s">
        <v>2207</v>
      </c>
      <c r="B258" t="s">
        <v>1632</v>
      </c>
    </row>
    <row r="259" spans="1:2" x14ac:dyDescent="0.3">
      <c r="A259" t="s">
        <v>2207</v>
      </c>
      <c r="B259" t="s">
        <v>1832</v>
      </c>
    </row>
    <row r="260" spans="1:2" x14ac:dyDescent="0.3">
      <c r="A260" t="s">
        <v>2207</v>
      </c>
      <c r="B260" t="s">
        <v>1658</v>
      </c>
    </row>
    <row r="261" spans="1:2" x14ac:dyDescent="0.3">
      <c r="A261" t="s">
        <v>2207</v>
      </c>
      <c r="B261" t="s">
        <v>1645</v>
      </c>
    </row>
    <row r="262" spans="1:2" x14ac:dyDescent="0.3">
      <c r="A262" t="s">
        <v>2207</v>
      </c>
      <c r="B262" t="s">
        <v>1630</v>
      </c>
    </row>
    <row r="263" spans="1:2" x14ac:dyDescent="0.3">
      <c r="A263" t="s">
        <v>2207</v>
      </c>
      <c r="B263" t="s">
        <v>1736</v>
      </c>
    </row>
    <row r="264" spans="1:2" x14ac:dyDescent="0.3">
      <c r="A264" t="s">
        <v>2207</v>
      </c>
      <c r="B264" t="s">
        <v>1788</v>
      </c>
    </row>
    <row r="265" spans="1:2" x14ac:dyDescent="0.3">
      <c r="A265" t="s">
        <v>2207</v>
      </c>
      <c r="B265" t="s">
        <v>1720</v>
      </c>
    </row>
    <row r="266" spans="1:2" x14ac:dyDescent="0.3">
      <c r="A266" t="s">
        <v>2207</v>
      </c>
      <c r="B266" t="s">
        <v>1814</v>
      </c>
    </row>
    <row r="267" spans="1:2" x14ac:dyDescent="0.3">
      <c r="A267" t="s">
        <v>2207</v>
      </c>
      <c r="B267" t="s">
        <v>1742</v>
      </c>
    </row>
    <row r="268" spans="1:2" x14ac:dyDescent="0.3">
      <c r="A268" t="s">
        <v>2207</v>
      </c>
      <c r="B268" t="s">
        <v>1791</v>
      </c>
    </row>
    <row r="269" spans="1:2" x14ac:dyDescent="0.3">
      <c r="A269" t="s">
        <v>2207</v>
      </c>
      <c r="B269" t="s">
        <v>1870</v>
      </c>
    </row>
    <row r="270" spans="1:2" x14ac:dyDescent="0.3">
      <c r="A270" t="s">
        <v>2207</v>
      </c>
      <c r="B270" t="s">
        <v>1768</v>
      </c>
    </row>
    <row r="271" spans="1:2" x14ac:dyDescent="0.3">
      <c r="A271" t="s">
        <v>2207</v>
      </c>
      <c r="B271" t="s">
        <v>1826</v>
      </c>
    </row>
    <row r="272" spans="1:2" x14ac:dyDescent="0.3">
      <c r="A272" t="s">
        <v>2207</v>
      </c>
      <c r="B272" t="s">
        <v>1692</v>
      </c>
    </row>
    <row r="273" spans="1:2" x14ac:dyDescent="0.3">
      <c r="A273" t="s">
        <v>2207</v>
      </c>
      <c r="B273" t="s">
        <v>1551</v>
      </c>
    </row>
    <row r="274" spans="1:2" x14ac:dyDescent="0.3">
      <c r="A274" t="s">
        <v>2207</v>
      </c>
      <c r="B274" t="s">
        <v>1813</v>
      </c>
    </row>
    <row r="275" spans="1:2" x14ac:dyDescent="0.3">
      <c r="A275" t="s">
        <v>2207</v>
      </c>
      <c r="B275" t="s">
        <v>1799</v>
      </c>
    </row>
    <row r="276" spans="1:2" x14ac:dyDescent="0.3">
      <c r="A276" t="s">
        <v>2207</v>
      </c>
      <c r="B276" t="s">
        <v>1882</v>
      </c>
    </row>
    <row r="277" spans="1:2" x14ac:dyDescent="0.3">
      <c r="A277" t="s">
        <v>2207</v>
      </c>
      <c r="B277" t="s">
        <v>1758</v>
      </c>
    </row>
    <row r="278" spans="1:2" x14ac:dyDescent="0.3">
      <c r="A278" t="s">
        <v>2207</v>
      </c>
      <c r="B278" t="s">
        <v>1677</v>
      </c>
    </row>
    <row r="279" spans="1:2" x14ac:dyDescent="0.3">
      <c r="A279" t="s">
        <v>2207</v>
      </c>
      <c r="B279" t="s">
        <v>1691</v>
      </c>
    </row>
    <row r="280" spans="1:2" x14ac:dyDescent="0.3">
      <c r="A280" t="s">
        <v>2207</v>
      </c>
      <c r="B280" t="s">
        <v>1633</v>
      </c>
    </row>
    <row r="281" spans="1:2" x14ac:dyDescent="0.3">
      <c r="A281" t="s">
        <v>2207</v>
      </c>
      <c r="B281" t="s">
        <v>1725</v>
      </c>
    </row>
    <row r="282" spans="1:2" x14ac:dyDescent="0.3">
      <c r="A282" t="s">
        <v>2207</v>
      </c>
      <c r="B282" t="s">
        <v>1624</v>
      </c>
    </row>
    <row r="283" spans="1:2" x14ac:dyDescent="0.3">
      <c r="A283" t="s">
        <v>2207</v>
      </c>
      <c r="B283" t="s">
        <v>1648</v>
      </c>
    </row>
    <row r="284" spans="1:2" x14ac:dyDescent="0.3">
      <c r="A284" t="s">
        <v>2207</v>
      </c>
      <c r="B284" t="s">
        <v>1853</v>
      </c>
    </row>
    <row r="285" spans="1:2" x14ac:dyDescent="0.3">
      <c r="A285" t="s">
        <v>2207</v>
      </c>
      <c r="B285" t="s">
        <v>1752</v>
      </c>
    </row>
    <row r="286" spans="1:2" x14ac:dyDescent="0.3">
      <c r="A286" t="s">
        <v>2207</v>
      </c>
      <c r="B286" t="s">
        <v>1807</v>
      </c>
    </row>
    <row r="287" spans="1:2" x14ac:dyDescent="0.3">
      <c r="A287" t="s">
        <v>2207</v>
      </c>
      <c r="B287" t="s">
        <v>1810</v>
      </c>
    </row>
    <row r="288" spans="1:2" x14ac:dyDescent="0.3">
      <c r="A288" t="s">
        <v>2207</v>
      </c>
      <c r="B288" t="s">
        <v>1818</v>
      </c>
    </row>
    <row r="289" spans="1:2" x14ac:dyDescent="0.3">
      <c r="A289" t="s">
        <v>2207</v>
      </c>
      <c r="B289" t="s">
        <v>1655</v>
      </c>
    </row>
    <row r="290" spans="1:2" x14ac:dyDescent="0.3">
      <c r="A290" t="s">
        <v>2207</v>
      </c>
      <c r="B290" t="s">
        <v>1854</v>
      </c>
    </row>
    <row r="291" spans="1:2" x14ac:dyDescent="0.3">
      <c r="A291" t="s">
        <v>2207</v>
      </c>
      <c r="B291" t="s">
        <v>1741</v>
      </c>
    </row>
    <row r="292" spans="1:2" x14ac:dyDescent="0.3">
      <c r="A292" t="s">
        <v>2207</v>
      </c>
      <c r="B292" t="s">
        <v>1848</v>
      </c>
    </row>
    <row r="293" spans="1:2" x14ac:dyDescent="0.3">
      <c r="A293" t="s">
        <v>2207</v>
      </c>
      <c r="B293" t="s">
        <v>1609</v>
      </c>
    </row>
    <row r="294" spans="1:2" x14ac:dyDescent="0.3">
      <c r="A294" t="s">
        <v>2207</v>
      </c>
      <c r="B294" t="s">
        <v>1871</v>
      </c>
    </row>
    <row r="295" spans="1:2" x14ac:dyDescent="0.3">
      <c r="A295" t="s">
        <v>2207</v>
      </c>
      <c r="B295" t="s">
        <v>1617</v>
      </c>
    </row>
    <row r="296" spans="1:2" x14ac:dyDescent="0.3">
      <c r="A296" t="s">
        <v>2207</v>
      </c>
      <c r="B296" t="s">
        <v>1357</v>
      </c>
    </row>
    <row r="297" spans="1:2" x14ac:dyDescent="0.3">
      <c r="A297" t="s">
        <v>2207</v>
      </c>
      <c r="B297" t="s">
        <v>1825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511CD-7553-4B64-9C44-8D74B3909F5D}">
  <dimension ref="A1:B5"/>
  <sheetViews>
    <sheetView zoomScale="145" zoomScaleNormal="145" workbookViewId="0">
      <selection sqref="A1:B5"/>
    </sheetView>
  </sheetViews>
  <sheetFormatPr defaultRowHeight="14.4" x14ac:dyDescent="0.3"/>
  <cols>
    <col min="1" max="1" width="18.5546875" bestFit="1" customWidth="1"/>
  </cols>
  <sheetData>
    <row r="1" spans="1:2" x14ac:dyDescent="0.3">
      <c r="A1" t="s">
        <v>2208</v>
      </c>
      <c r="B1" t="s">
        <v>10</v>
      </c>
    </row>
    <row r="2" spans="1:2" x14ac:dyDescent="0.3">
      <c r="A2" t="s">
        <v>1714</v>
      </c>
      <c r="B2" t="s">
        <v>38</v>
      </c>
    </row>
    <row r="3" spans="1:2" x14ac:dyDescent="0.3">
      <c r="A3" t="s">
        <v>1610</v>
      </c>
      <c r="B3" t="s">
        <v>133</v>
      </c>
    </row>
    <row r="4" spans="1:2" x14ac:dyDescent="0.3">
      <c r="A4" t="s">
        <v>1665</v>
      </c>
      <c r="B4" t="s">
        <v>95</v>
      </c>
    </row>
    <row r="5" spans="1:2" x14ac:dyDescent="0.3">
      <c r="A5" t="s">
        <v>719</v>
      </c>
      <c r="B5" t="s">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9DD2F-A412-44AB-9BD3-9B9BC908B536}">
  <dimension ref="B2:BG55"/>
  <sheetViews>
    <sheetView showGridLines="0" tabSelected="1" zoomScale="25" zoomScaleNormal="40" workbookViewId="0">
      <selection activeCell="BQ104" sqref="BQ104"/>
    </sheetView>
  </sheetViews>
  <sheetFormatPr defaultRowHeight="14.4" x14ac:dyDescent="0.3"/>
  <cols>
    <col min="1" max="1" width="6.5546875" style="11" customWidth="1"/>
    <col min="2" max="2" width="57.33203125" style="11" customWidth="1"/>
    <col min="3" max="7" width="8.88671875" style="11"/>
    <col min="8" max="8" width="8.88671875" style="11" customWidth="1"/>
    <col min="9" max="16384" width="8.88671875" style="11"/>
  </cols>
  <sheetData>
    <row r="2" spans="2:32" x14ac:dyDescent="0.3">
      <c r="B2" s="15" t="s">
        <v>2235</v>
      </c>
      <c r="Q2" s="12" t="s">
        <v>2234</v>
      </c>
      <c r="R2" s="13"/>
      <c r="S2" s="13"/>
      <c r="T2" s="13"/>
      <c r="U2" s="13"/>
      <c r="V2" s="13"/>
      <c r="W2" s="13"/>
      <c r="X2" s="13"/>
      <c r="Y2" s="13"/>
      <c r="Z2" s="13"/>
      <c r="AA2" s="13"/>
      <c r="AB2" s="13"/>
      <c r="AC2" s="13"/>
      <c r="AD2" s="13"/>
      <c r="AE2" s="13"/>
      <c r="AF2" s="13"/>
    </row>
    <row r="3" spans="2:32" x14ac:dyDescent="0.3">
      <c r="B3" s="16"/>
      <c r="Q3" s="13"/>
      <c r="R3" s="13"/>
      <c r="S3" s="13"/>
      <c r="T3" s="13"/>
      <c r="U3" s="13"/>
      <c r="V3" s="13"/>
      <c r="W3" s="13"/>
      <c r="X3" s="13"/>
      <c r="Y3" s="13"/>
      <c r="Z3" s="13"/>
      <c r="AA3" s="13"/>
      <c r="AB3" s="13"/>
      <c r="AC3" s="13"/>
      <c r="AD3" s="13"/>
      <c r="AE3" s="13"/>
      <c r="AF3" s="13"/>
    </row>
    <row r="4" spans="2:32" x14ac:dyDescent="0.3">
      <c r="B4" s="16"/>
    </row>
    <row r="5" spans="2:32" x14ac:dyDescent="0.3">
      <c r="B5" s="16"/>
    </row>
    <row r="55" spans="59:59" x14ac:dyDescent="0.3">
      <c r="BG55" s="14"/>
    </row>
  </sheetData>
  <mergeCells count="2">
    <mergeCell ref="Q2:AF3"/>
    <mergeCell ref="B2:B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vt:lpstr>
      <vt:lpstr>pivot Table</vt:lpstr>
      <vt:lpstr>Return</vt:lpstr>
      <vt:lpstr>People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Mohamed Reda</cp:lastModifiedBy>
  <dcterms:created xsi:type="dcterms:W3CDTF">2023-03-31T23:02:54Z</dcterms:created>
  <dcterms:modified xsi:type="dcterms:W3CDTF">2026-09-26T05:34:24Z</dcterms:modified>
</cp:coreProperties>
</file>